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-init/"/>
    </mc:Choice>
  </mc:AlternateContent>
  <xr:revisionPtr revIDLastSave="0" documentId="13_ncr:1_{A8695D9C-7410-F34E-A0C0-49180C10319B}" xr6:coauthVersionLast="47" xr6:coauthVersionMax="47" xr10:uidLastSave="{00000000-0000-0000-0000-000000000000}"/>
  <bookViews>
    <workbookView xWindow="18320" yWindow="2100" windowWidth="15420" windowHeight="18380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</sheets>
  <externalReferences>
    <externalReference r:id="rId5"/>
  </externalReferences>
  <definedNames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Menu'!$I$13</definedName>
    <definedName name="Menu_BSGreeks">'Pricing Menu'!$F$17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Menu'!$I$12</definedName>
    <definedName name="Menu_Exercise">'Pricing Menu'!$F$10</definedName>
    <definedName name="Menu_Maturity">'Pricing Menu'!$F$9</definedName>
    <definedName name="Menu_Model">'Pricing Menu'!$I$11</definedName>
    <definedName name="Menu_ModelGreeks">'Pricing Menu'!$H$17</definedName>
    <definedName name="Menu_ModelPrices">'Pricing Menu'!$B$17</definedName>
    <definedName name="Menu_OptType">'Pricing Menu'!$F$7</definedName>
    <definedName name="Menu_Paths">'Pricing Menu'!$I$8</definedName>
    <definedName name="Menu_PrDate">'Pricing Menu'!$I$7</definedName>
    <definedName name="Menu_Rate">'Pricing Menu'!$C$9</definedName>
    <definedName name="Menu_Seed">'Pricing Menu'!$I$10</definedName>
    <definedName name="Menu_Spot">'Pricing Menu'!$C$7</definedName>
    <definedName name="Menu_Steps">'Pricing Menu'!$I$9</definedName>
    <definedName name="Menu_Strike">'Pricing Menu'!$F$8</definedName>
    <definedName name="Menu_Times">'Pricing Menu'!$B$18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s">'Regres. Comp'!$B$13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4" l="1"/>
  <c r="G16" i="4"/>
  <c r="F16" i="4"/>
  <c r="C16" i="4"/>
  <c r="B3" i="4" l="1" a="1"/>
  <c r="B3" i="4" s="1"/>
  <c r="F5" i="3" l="1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<sst xmlns="http://schemas.openxmlformats.org/spreadsheetml/2006/main" count="156" uniqueCount="69">
  <si>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</si>
  <si>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</si>
  <si>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</si>
  <si>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</si>
  <si>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</si>
  <si>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</si>
  <si>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</si>
  <si>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</si>
  <si>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</si>
  <si>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</si>
  <si>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</si>
  <si>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</si>
  <si>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</si>
  <si>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</si>
  <si>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</si>
  <si>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</si>
  <si>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</si>
  <si>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</si>
  <si>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</si>
  <si>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</si>
  <si>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</si>
  <si>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</si>
  <si>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</si>
  <si>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</si>
  <si>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</si>
  <si>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</si>
  <si>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</si>
  <si>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</si>
  <si>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</si>
  <si>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</si>
  <si>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</si>
  <si>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</si>
  <si>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</si>
  <si>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</si>
  <si>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</si>
  <si>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</si>
  <si>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</si>
  <si>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</si>
  <si>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</si>
  <si>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</si>
  <si>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</si>
  <si>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</si>
  <si>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</si>
  <si>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</si>
  <si>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</si>
  <si>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</si>
  <si>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</si>
  <si>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</si>
  <si>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</si>
  <si>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</si>
  <si>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</si>
  <si>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</si>
  <si>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</si>
  <si>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</si>
  <si>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</si>
  <si>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nb paths</t>
  </si>
  <si>
    <t>Price :</t>
  </si>
  <si>
    <t>Time :</t>
  </si>
  <si>
    <t>Longstaff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</si>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</sst>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scheme val="minor"/>
    </font>
    <font>
      <b/>
      <sz val="12"/>
      <color theme="1"/>
      <name val="Aptos Narrow"/>
      <scheme val="minor"/>
    </font>
    <font>
      <b/>
      <sz val="18"/>
      <color rgb="FF6666D0"/>
      <name val="Aptos Narrow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10" fontId="0" fillId="0" borderId="1" xfId="0" applyNumberFormat="1" applyBorder="1"/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858E"/>
      <color rgb="FFAC4EF5"/>
      <color rgb="FFFF9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Graphique Convergence</a:t>
            </a:r>
            <a:r>
              <a:rPr lang="fr-FR" b="1" baseline="0"/>
              <a:t> (MC-BS)*sqrt(nb paths)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LS prices comparisons with regression methods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Comp'!$B$13:$B$321</c:f>
              <c:numCache>
                <c:formatCode>General</c:formatCode>
                <c:ptCount val="309"/>
                <c:pt idx="0">
                  <c:v>16.025884724413967</c:v>
                </c:pt>
                <c:pt idx="1">
                  <c:v>17.249128556173368</c:v>
                </c:pt>
                <c:pt idx="2">
                  <c:v>13.132327641981368</c:v>
                </c:pt>
                <c:pt idx="3">
                  <c:v>13.768195560879958</c:v>
                </c:pt>
                <c:pt idx="4">
                  <c:v>15.724228276134543</c:v>
                </c:pt>
                <c:pt idx="5">
                  <c:v>14.652022917159446</c:v>
                </c:pt>
                <c:pt idx="6">
                  <c:v>13.368788170462715</c:v>
                </c:pt>
                <c:pt idx="7">
                  <c:v>15.992690877989446</c:v>
                </c:pt>
                <c:pt idx="8">
                  <c:v>16.336987229043704</c:v>
                </c:pt>
                <c:pt idx="9">
                  <c:v>11.453371943661304</c:v>
                </c:pt>
                <c:pt idx="10">
                  <c:v>16.050780916306458</c:v>
                </c:pt>
                <c:pt idx="11">
                  <c:v>15.823142798742726</c:v>
                </c:pt>
                <c:pt idx="12">
                  <c:v>15.557350713168416</c:v>
                </c:pt>
                <c:pt idx="13">
                  <c:v>15.862463109506985</c:v>
                </c:pt>
                <c:pt idx="14">
                  <c:v>15.945852026021887</c:v>
                </c:pt>
                <c:pt idx="15">
                  <c:v>17.029123718255399</c:v>
                </c:pt>
                <c:pt idx="16">
                  <c:v>13.502902131647257</c:v>
                </c:pt>
                <c:pt idx="17">
                  <c:v>14.998003714564362</c:v>
                </c:pt>
                <c:pt idx="18">
                  <c:v>15.249761794273747</c:v>
                </c:pt>
                <c:pt idx="19">
                  <c:v>13.9003384076993</c:v>
                </c:pt>
                <c:pt idx="20">
                  <c:v>14.045774493029628</c:v>
                </c:pt>
                <c:pt idx="21">
                  <c:v>17.369095290190398</c:v>
                </c:pt>
                <c:pt idx="22">
                  <c:v>16.147025699738489</c:v>
                </c:pt>
                <c:pt idx="23">
                  <c:v>16.924509787942558</c:v>
                </c:pt>
                <c:pt idx="24">
                  <c:v>17.97957998422903</c:v>
                </c:pt>
                <c:pt idx="25">
                  <c:v>15.93431592468529</c:v>
                </c:pt>
                <c:pt idx="26">
                  <c:v>15.974133804367019</c:v>
                </c:pt>
                <c:pt idx="27">
                  <c:v>14.492667422031476</c:v>
                </c:pt>
                <c:pt idx="28">
                  <c:v>14.864750738461449</c:v>
                </c:pt>
                <c:pt idx="29">
                  <c:v>16.006256667099063</c:v>
                </c:pt>
                <c:pt idx="30">
                  <c:v>15.435069278474876</c:v>
                </c:pt>
                <c:pt idx="31">
                  <c:v>16.437658079863262</c:v>
                </c:pt>
                <c:pt idx="32">
                  <c:v>14.092753198171366</c:v>
                </c:pt>
                <c:pt idx="33">
                  <c:v>16.495369919736557</c:v>
                </c:pt>
                <c:pt idx="34">
                  <c:v>14.399471278769649</c:v>
                </c:pt>
                <c:pt idx="35">
                  <c:v>17.349896819226583</c:v>
                </c:pt>
                <c:pt idx="36">
                  <c:v>16.081776056661337</c:v>
                </c:pt>
                <c:pt idx="37">
                  <c:v>17.765940566082907</c:v>
                </c:pt>
                <c:pt idx="38">
                  <c:v>18.005416403871124</c:v>
                </c:pt>
                <c:pt idx="39">
                  <c:v>16.090392050401068</c:v>
                </c:pt>
                <c:pt idx="40">
                  <c:v>16.082834898769935</c:v>
                </c:pt>
                <c:pt idx="41">
                  <c:v>16.116531057305256</c:v>
                </c:pt>
                <c:pt idx="42">
                  <c:v>16.186178626114916</c:v>
                </c:pt>
                <c:pt idx="43">
                  <c:v>15.03030474020513</c:v>
                </c:pt>
                <c:pt idx="44">
                  <c:v>13.608773371064114</c:v>
                </c:pt>
                <c:pt idx="45">
                  <c:v>16.363719326591241</c:v>
                </c:pt>
                <c:pt idx="46">
                  <c:v>14.85843011764509</c:v>
                </c:pt>
                <c:pt idx="47">
                  <c:v>15.076088539556521</c:v>
                </c:pt>
                <c:pt idx="48">
                  <c:v>15.903348954849543</c:v>
                </c:pt>
                <c:pt idx="49">
                  <c:v>14.404034458760249</c:v>
                </c:pt>
                <c:pt idx="50">
                  <c:v>15.384558890162715</c:v>
                </c:pt>
                <c:pt idx="51">
                  <c:v>16.674308150185695</c:v>
                </c:pt>
                <c:pt idx="52">
                  <c:v>16.256918119566425</c:v>
                </c:pt>
                <c:pt idx="53">
                  <c:v>5.2713638874072597</c:v>
                </c:pt>
                <c:pt idx="54">
                  <c:v>13.787075290779731</c:v>
                </c:pt>
                <c:pt idx="55">
                  <c:v>13.94385416372835</c:v>
                </c:pt>
                <c:pt idx="56">
                  <c:v>10.303013080098117</c:v>
                </c:pt>
                <c:pt idx="57">
                  <c:v>13.199586716919145</c:v>
                </c:pt>
                <c:pt idx="58">
                  <c:v>14.55180989428761</c:v>
                </c:pt>
                <c:pt idx="59">
                  <c:v>6.1866090691936879</c:v>
                </c:pt>
                <c:pt idx="60">
                  <c:v>15.933343513160894</c:v>
                </c:pt>
                <c:pt idx="61">
                  <c:v>16.154331240251988</c:v>
                </c:pt>
                <c:pt idx="62">
                  <c:v>16.286683271075901</c:v>
                </c:pt>
                <c:pt idx="63">
                  <c:v>14.814229316174904</c:v>
                </c:pt>
                <c:pt idx="64">
                  <c:v>15.314230712995682</c:v>
                </c:pt>
                <c:pt idx="65">
                  <c:v>16.909371102880375</c:v>
                </c:pt>
                <c:pt idx="66">
                  <c:v>15.544116508465802</c:v>
                </c:pt>
                <c:pt idx="67">
                  <c:v>14.404267203714422</c:v>
                </c:pt>
                <c:pt idx="68">
                  <c:v>15.671982865770481</c:v>
                </c:pt>
                <c:pt idx="69">
                  <c:v>10.811508604506933</c:v>
                </c:pt>
                <c:pt idx="70">
                  <c:v>15.072316637559533</c:v>
                </c:pt>
                <c:pt idx="71">
                  <c:v>14.667501204882621</c:v>
                </c:pt>
                <c:pt idx="72">
                  <c:v>15.362352048812706</c:v>
                </c:pt>
                <c:pt idx="73">
                  <c:v>12.854139622760563</c:v>
                </c:pt>
                <c:pt idx="74">
                  <c:v>14.254215234983938</c:v>
                </c:pt>
                <c:pt idx="75">
                  <c:v>16.095183226748695</c:v>
                </c:pt>
                <c:pt idx="76">
                  <c:v>15.295236991425842</c:v>
                </c:pt>
                <c:pt idx="77">
                  <c:v>15.221238175561689</c:v>
                </c:pt>
                <c:pt idx="78">
                  <c:v>12.5859968699693</c:v>
                </c:pt>
                <c:pt idx="79">
                  <c:v>10.237551391398997</c:v>
                </c:pt>
                <c:pt idx="80">
                  <c:v>15.747944493411998</c:v>
                </c:pt>
                <c:pt idx="81">
                  <c:v>14.645492677669175</c:v>
                </c:pt>
                <c:pt idx="82">
                  <c:v>14.653177691971241</c:v>
                </c:pt>
                <c:pt idx="83">
                  <c:v>15.355044716516696</c:v>
                </c:pt>
                <c:pt idx="84">
                  <c:v>16.292369765106198</c:v>
                </c:pt>
                <c:pt idx="85">
                  <c:v>15.237033467012248</c:v>
                </c:pt>
                <c:pt idx="86">
                  <c:v>15.54558195508266</c:v>
                </c:pt>
                <c:pt idx="87">
                  <c:v>15.369624049702146</c:v>
                </c:pt>
                <c:pt idx="88">
                  <c:v>16.041757666062075</c:v>
                </c:pt>
                <c:pt idx="89">
                  <c:v>15.060416639880579</c:v>
                </c:pt>
                <c:pt idx="90">
                  <c:v>15.375690872648537</c:v>
                </c:pt>
                <c:pt idx="91">
                  <c:v>15.111316147552808</c:v>
                </c:pt>
                <c:pt idx="92">
                  <c:v>9.6560066957854378</c:v>
                </c:pt>
                <c:pt idx="93">
                  <c:v>14.285723830996504</c:v>
                </c:pt>
                <c:pt idx="94">
                  <c:v>11.299409519850466</c:v>
                </c:pt>
                <c:pt idx="95">
                  <c:v>12.565253112248724</c:v>
                </c:pt>
                <c:pt idx="96">
                  <c:v>14.47265442514146</c:v>
                </c:pt>
                <c:pt idx="97">
                  <c:v>14.532260176222604</c:v>
                </c:pt>
                <c:pt idx="98">
                  <c:v>14.215319193979346</c:v>
                </c:pt>
                <c:pt idx="99">
                  <c:v>11.72010103185467</c:v>
                </c:pt>
                <c:pt idx="100">
                  <c:v>11.148839375205631</c:v>
                </c:pt>
                <c:pt idx="101">
                  <c:v>15.256295770476155</c:v>
                </c:pt>
                <c:pt idx="102">
                  <c:v>15.014793713050421</c:v>
                </c:pt>
                <c:pt idx="103">
                  <c:v>13.709599369174224</c:v>
                </c:pt>
                <c:pt idx="104">
                  <c:v>12.54485377684896</c:v>
                </c:pt>
                <c:pt idx="105">
                  <c:v>12.769373422855402</c:v>
                </c:pt>
                <c:pt idx="106">
                  <c:v>11.980708934167996</c:v>
                </c:pt>
                <c:pt idx="107">
                  <c:v>13.14226865420132</c:v>
                </c:pt>
                <c:pt idx="108">
                  <c:v>12.726854036079782</c:v>
                </c:pt>
                <c:pt idx="109">
                  <c:v>8.350615918767037</c:v>
                </c:pt>
                <c:pt idx="110">
                  <c:v>11.485704321051848</c:v>
                </c:pt>
                <c:pt idx="111">
                  <c:v>12.526059752383675</c:v>
                </c:pt>
                <c:pt idx="112">
                  <c:v>12.165185823743698</c:v>
                </c:pt>
                <c:pt idx="113">
                  <c:v>11.04223869892005</c:v>
                </c:pt>
                <c:pt idx="114">
                  <c:v>14.718761698125769</c:v>
                </c:pt>
                <c:pt idx="115">
                  <c:v>15.149340910703664</c:v>
                </c:pt>
                <c:pt idx="116">
                  <c:v>14.782959908384697</c:v>
                </c:pt>
                <c:pt idx="117">
                  <c:v>13.663688168302741</c:v>
                </c:pt>
                <c:pt idx="118">
                  <c:v>11.78090818267942</c:v>
                </c:pt>
                <c:pt idx="119">
                  <c:v>12.828942289199158</c:v>
                </c:pt>
                <c:pt idx="120">
                  <c:v>14.574602075039319</c:v>
                </c:pt>
                <c:pt idx="121">
                  <c:v>13.158943601877768</c:v>
                </c:pt>
                <c:pt idx="122">
                  <c:v>15.132862783311559</c:v>
                </c:pt>
                <c:pt idx="123">
                  <c:v>9.757413762479846</c:v>
                </c:pt>
                <c:pt idx="124">
                  <c:v>12.191733000507023</c:v>
                </c:pt>
                <c:pt idx="125">
                  <c:v>14.116690413391378</c:v>
                </c:pt>
                <c:pt idx="126">
                  <c:v>10.785333316679298</c:v>
                </c:pt>
                <c:pt idx="127">
                  <c:v>15.525111680570605</c:v>
                </c:pt>
                <c:pt idx="128">
                  <c:v>13.200958969937837</c:v>
                </c:pt>
                <c:pt idx="129">
                  <c:v>12.08203396483038</c:v>
                </c:pt>
                <c:pt idx="130">
                  <c:v>10.7804365347118</c:v>
                </c:pt>
                <c:pt idx="131">
                  <c:v>13.527051211501849</c:v>
                </c:pt>
                <c:pt idx="132">
                  <c:v>6.3606744711260319</c:v>
                </c:pt>
                <c:pt idx="133">
                  <c:v>15.632410185479602</c:v>
                </c:pt>
                <c:pt idx="134">
                  <c:v>15.703235327165217</c:v>
                </c:pt>
                <c:pt idx="135">
                  <c:v>15.315868141950373</c:v>
                </c:pt>
                <c:pt idx="136">
                  <c:v>15.152420720334877</c:v>
                </c:pt>
                <c:pt idx="137">
                  <c:v>15.130821823969788</c:v>
                </c:pt>
                <c:pt idx="138">
                  <c:v>13.81163384873765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9-FF4F-9677-AF4ABF984608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Comp'!$C$13:$C$321</c:f>
              <c:numCache>
                <c:formatCode>General</c:formatCode>
                <c:ptCount val="309"/>
                <c:pt idx="0">
                  <c:v>16.091346996392044</c:v>
                </c:pt>
                <c:pt idx="1">
                  <c:v>15.950104280176783</c:v>
                </c:pt>
                <c:pt idx="2">
                  <c:v>13.518752930996561</c:v>
                </c:pt>
                <c:pt idx="3">
                  <c:v>14.798569434072345</c:v>
                </c:pt>
                <c:pt idx="4">
                  <c:v>16.56962548475499</c:v>
                </c:pt>
                <c:pt idx="5">
                  <c:v>15.872794144201336</c:v>
                </c:pt>
                <c:pt idx="6">
                  <c:v>15.945893153853074</c:v>
                </c:pt>
                <c:pt idx="7">
                  <c:v>16.741604659610623</c:v>
                </c:pt>
                <c:pt idx="8">
                  <c:v>18.914555577730926</c:v>
                </c:pt>
                <c:pt idx="9">
                  <c:v>16.80944012197557</c:v>
                </c:pt>
                <c:pt idx="10">
                  <c:v>16.450812769668378</c:v>
                </c:pt>
                <c:pt idx="11">
                  <c:v>16.025741949269957</c:v>
                </c:pt>
                <c:pt idx="12">
                  <c:v>16.491153141752768</c:v>
                </c:pt>
                <c:pt idx="13">
                  <c:v>16.722431770607475</c:v>
                </c:pt>
                <c:pt idx="14">
                  <c:v>15.299266120180393</c:v>
                </c:pt>
                <c:pt idx="15">
                  <c:v>13.286538618534955</c:v>
                </c:pt>
                <c:pt idx="16">
                  <c:v>16.287491531942038</c:v>
                </c:pt>
                <c:pt idx="17">
                  <c:v>15.457758367525239</c:v>
                </c:pt>
                <c:pt idx="18">
                  <c:v>17.233093948174584</c:v>
                </c:pt>
                <c:pt idx="19">
                  <c:v>15.725470221953264</c:v>
                </c:pt>
                <c:pt idx="20">
                  <c:v>16.298792649042355</c:v>
                </c:pt>
                <c:pt idx="21">
                  <c:v>16.980916244927634</c:v>
                </c:pt>
                <c:pt idx="22">
                  <c:v>15.779919486930144</c:v>
                </c:pt>
                <c:pt idx="23">
                  <c:v>18.229763323762075</c:v>
                </c:pt>
                <c:pt idx="24">
                  <c:v>18.156188521582624</c:v>
                </c:pt>
                <c:pt idx="25">
                  <c:v>16.395318822182709</c:v>
                </c:pt>
                <c:pt idx="26">
                  <c:v>16.828565215074178</c:v>
                </c:pt>
                <c:pt idx="27">
                  <c:v>16.420052445063135</c:v>
                </c:pt>
                <c:pt idx="28">
                  <c:v>16.115819736486504</c:v>
                </c:pt>
                <c:pt idx="29">
                  <c:v>15.820932563600854</c:v>
                </c:pt>
                <c:pt idx="30">
                  <c:v>15.330237084360981</c:v>
                </c:pt>
                <c:pt idx="31">
                  <c:v>17.509185525655429</c:v>
                </c:pt>
                <c:pt idx="32">
                  <c:v>15.892322365332062</c:v>
                </c:pt>
                <c:pt idx="33">
                  <c:v>17.987710691206829</c:v>
                </c:pt>
                <c:pt idx="34">
                  <c:v>15.797211743806633</c:v>
                </c:pt>
                <c:pt idx="35">
                  <c:v>17.784785127227487</c:v>
                </c:pt>
                <c:pt idx="36">
                  <c:v>17.906894403787589</c:v>
                </c:pt>
                <c:pt idx="37">
                  <c:v>17.75781730839352</c:v>
                </c:pt>
                <c:pt idx="38">
                  <c:v>17.883984058750162</c:v>
                </c:pt>
                <c:pt idx="39">
                  <c:v>15.018636616519164</c:v>
                </c:pt>
                <c:pt idx="40">
                  <c:v>15.68669288675283</c:v>
                </c:pt>
                <c:pt idx="41">
                  <c:v>16.879869613427438</c:v>
                </c:pt>
                <c:pt idx="42">
                  <c:v>16.690002409441622</c:v>
                </c:pt>
                <c:pt idx="43">
                  <c:v>15.532088920075502</c:v>
                </c:pt>
                <c:pt idx="44">
                  <c:v>14.727423671435286</c:v>
                </c:pt>
                <c:pt idx="45">
                  <c:v>16.690611062662281</c:v>
                </c:pt>
                <c:pt idx="46">
                  <c:v>15.005748077221943</c:v>
                </c:pt>
                <c:pt idx="47">
                  <c:v>15.232393741432386</c:v>
                </c:pt>
                <c:pt idx="48">
                  <c:v>16.296837653214652</c:v>
                </c:pt>
                <c:pt idx="49">
                  <c:v>14.269672930747561</c:v>
                </c:pt>
                <c:pt idx="50">
                  <c:v>15.047552400219452</c:v>
                </c:pt>
                <c:pt idx="51">
                  <c:v>14.927437992523622</c:v>
                </c:pt>
                <c:pt idx="52">
                  <c:v>17.300406445857522</c:v>
                </c:pt>
                <c:pt idx="53">
                  <c:v>16.243719713000825</c:v>
                </c:pt>
                <c:pt idx="54">
                  <c:v>13.095612570949109</c:v>
                </c:pt>
                <c:pt idx="55">
                  <c:v>15.111012624158423</c:v>
                </c:pt>
                <c:pt idx="56">
                  <c:v>12.832192915907767</c:v>
                </c:pt>
                <c:pt idx="57">
                  <c:v>15.843808159513589</c:v>
                </c:pt>
                <c:pt idx="58">
                  <c:v>14.614952262868545</c:v>
                </c:pt>
                <c:pt idx="59">
                  <c:v>15.855971352508346</c:v>
                </c:pt>
                <c:pt idx="60">
                  <c:v>16.752001349747051</c:v>
                </c:pt>
                <c:pt idx="61">
                  <c:v>16.036423772399033</c:v>
                </c:pt>
                <c:pt idx="62">
                  <c:v>17.922995528289817</c:v>
                </c:pt>
                <c:pt idx="63">
                  <c:v>15.531430684773596</c:v>
                </c:pt>
                <c:pt idx="64">
                  <c:v>15.589994464197451</c:v>
                </c:pt>
                <c:pt idx="65">
                  <c:v>17.328847987172285</c:v>
                </c:pt>
                <c:pt idx="66">
                  <c:v>16.382500768918444</c:v>
                </c:pt>
                <c:pt idx="67">
                  <c:v>15.584638628318435</c:v>
                </c:pt>
                <c:pt idx="68">
                  <c:v>13.592036043236222</c:v>
                </c:pt>
                <c:pt idx="69">
                  <c:v>17.596158386794166</c:v>
                </c:pt>
                <c:pt idx="70">
                  <c:v>16.783403978254899</c:v>
                </c:pt>
                <c:pt idx="71">
                  <c:v>15.413944059038652</c:v>
                </c:pt>
                <c:pt idx="72">
                  <c:v>15.598029495936935</c:v>
                </c:pt>
                <c:pt idx="73">
                  <c:v>15.740433669474452</c:v>
                </c:pt>
                <c:pt idx="74">
                  <c:v>15.463913695844088</c:v>
                </c:pt>
                <c:pt idx="75">
                  <c:v>15.053693611221144</c:v>
                </c:pt>
                <c:pt idx="76">
                  <c:v>13.421701600644324</c:v>
                </c:pt>
                <c:pt idx="77">
                  <c:v>16.965756563322593</c:v>
                </c:pt>
                <c:pt idx="78">
                  <c:v>16.260274498973182</c:v>
                </c:pt>
                <c:pt idx="79">
                  <c:v>15.371627194571076</c:v>
                </c:pt>
                <c:pt idx="80">
                  <c:v>15.947430965433751</c:v>
                </c:pt>
                <c:pt idx="81">
                  <c:v>14.963541879657285</c:v>
                </c:pt>
                <c:pt idx="82">
                  <c:v>8.287512314472739</c:v>
                </c:pt>
                <c:pt idx="83">
                  <c:v>16.065590511853454</c:v>
                </c:pt>
                <c:pt idx="84">
                  <c:v>15.508574931401922</c:v>
                </c:pt>
                <c:pt idx="85">
                  <c:v>15.361215532247988</c:v>
                </c:pt>
                <c:pt idx="86">
                  <c:v>14.809852917040052</c:v>
                </c:pt>
                <c:pt idx="87">
                  <c:v>15.196851892406967</c:v>
                </c:pt>
                <c:pt idx="88">
                  <c:v>15.972584515179204</c:v>
                </c:pt>
                <c:pt idx="89">
                  <c:v>15.45833765541756</c:v>
                </c:pt>
                <c:pt idx="90">
                  <c:v>15.908060849637586</c:v>
                </c:pt>
                <c:pt idx="91">
                  <c:v>15.913779292235004</c:v>
                </c:pt>
                <c:pt idx="92">
                  <c:v>14.978140086461678</c:v>
                </c:pt>
                <c:pt idx="93">
                  <c:v>14.964656935123834</c:v>
                </c:pt>
                <c:pt idx="94">
                  <c:v>13.442556143638054</c:v>
                </c:pt>
                <c:pt idx="95">
                  <c:v>13.462683925830181</c:v>
                </c:pt>
                <c:pt idx="96">
                  <c:v>11.493093656143165</c:v>
                </c:pt>
                <c:pt idx="97">
                  <c:v>9.1217716443212602</c:v>
                </c:pt>
                <c:pt idx="98">
                  <c:v>15.525006840718799</c:v>
                </c:pt>
                <c:pt idx="99">
                  <c:v>14.083567158583078</c:v>
                </c:pt>
                <c:pt idx="100">
                  <c:v>11.104329041398175</c:v>
                </c:pt>
                <c:pt idx="101">
                  <c:v>15.545623428455928</c:v>
                </c:pt>
                <c:pt idx="102">
                  <c:v>14.876342750185469</c:v>
                </c:pt>
                <c:pt idx="103">
                  <c:v>11.083314927321887</c:v>
                </c:pt>
                <c:pt idx="104">
                  <c:v>13.594413406673148</c:v>
                </c:pt>
                <c:pt idx="105">
                  <c:v>11.983333392317144</c:v>
                </c:pt>
                <c:pt idx="106">
                  <c:v>7.1017865265260145</c:v>
                </c:pt>
                <c:pt idx="107">
                  <c:v>15.082006733442022</c:v>
                </c:pt>
                <c:pt idx="108">
                  <c:v>13.135652539853018</c:v>
                </c:pt>
                <c:pt idx="109">
                  <c:v>12.661006893348722</c:v>
                </c:pt>
                <c:pt idx="110">
                  <c:v>10.78531633854365</c:v>
                </c:pt>
                <c:pt idx="111">
                  <c:v>13.627343443703248</c:v>
                </c:pt>
                <c:pt idx="112">
                  <c:v>9.4611193291788087</c:v>
                </c:pt>
                <c:pt idx="113">
                  <c:v>11.604463924552642</c:v>
                </c:pt>
                <c:pt idx="114">
                  <c:v>9.9373203247026254</c:v>
                </c:pt>
                <c:pt idx="115">
                  <c:v>16.535212800397556</c:v>
                </c:pt>
                <c:pt idx="116">
                  <c:v>12.019860392192026</c:v>
                </c:pt>
                <c:pt idx="117">
                  <c:v>13.818244358293864</c:v>
                </c:pt>
                <c:pt idx="118">
                  <c:v>14.184454722404588</c:v>
                </c:pt>
                <c:pt idx="119">
                  <c:v>11.174557905844832</c:v>
                </c:pt>
                <c:pt idx="120">
                  <c:v>16.322617308142441</c:v>
                </c:pt>
                <c:pt idx="121">
                  <c:v>14.695175152138196</c:v>
                </c:pt>
                <c:pt idx="122">
                  <c:v>15.76514809988949</c:v>
                </c:pt>
                <c:pt idx="123">
                  <c:v>16.531253052585424</c:v>
                </c:pt>
                <c:pt idx="124">
                  <c:v>16.750719628125488</c:v>
                </c:pt>
                <c:pt idx="125">
                  <c:v>12.438389201479081</c:v>
                </c:pt>
                <c:pt idx="126">
                  <c:v>10.035967945676264</c:v>
                </c:pt>
                <c:pt idx="127">
                  <c:v>16.111992955324563</c:v>
                </c:pt>
                <c:pt idx="128">
                  <c:v>14.567041862888198</c:v>
                </c:pt>
                <c:pt idx="129">
                  <c:v>12.532450340233801</c:v>
                </c:pt>
                <c:pt idx="130">
                  <c:v>17.549851510708784</c:v>
                </c:pt>
                <c:pt idx="131">
                  <c:v>14.109853259223014</c:v>
                </c:pt>
                <c:pt idx="132">
                  <c:v>12.799639103405724</c:v>
                </c:pt>
                <c:pt idx="133">
                  <c:v>13.816435781920182</c:v>
                </c:pt>
                <c:pt idx="134">
                  <c:v>15.22917581940542</c:v>
                </c:pt>
                <c:pt idx="135">
                  <c:v>15.180477236353907</c:v>
                </c:pt>
                <c:pt idx="136">
                  <c:v>15.60682121047865</c:v>
                </c:pt>
                <c:pt idx="137">
                  <c:v>16.318771747848089</c:v>
                </c:pt>
                <c:pt idx="138">
                  <c:v>16.472682541567679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19-FF4F-9677-AF4ABF984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74255"/>
        <c:axId val="677882063"/>
      </c:scatterChart>
      <c:valAx>
        <c:axId val="611974255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882063"/>
        <c:crosses val="autoZero"/>
        <c:crossBetween val="midCat"/>
      </c:valAx>
      <c:valAx>
        <c:axId val="6778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74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7</xdr:col>
      <xdr:colOff>296014</xdr:colOff>
      <xdr:row>13</xdr:row>
      <xdr:rowOff>124134</xdr:rowOff>
    </xdr:from>
    <xdr:to>
      <xdr:col>14</xdr:col>
      <xdr:colOff>776585</xdr:colOff>
      <xdr:row>29</xdr:row>
      <xdr:rowOff>190319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4D5067B-2E8A-D805-D20B-D634A6EE0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3B443FF9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K21"/>
  <sheetViews>
    <sheetView tabSelected="1" zoomScale="140" workbookViewId="0">
      <selection activeCell="C24" sqref="C24"/>
    </sheetView>
  </sheetViews>
  <sheetFormatPr baseColWidth="10" defaultRowHeight="16" x14ac:dyDescent="0.2"/>
  <cols>
    <col min="1" max="1" width="10.83203125" style="2"/>
    <col min="2" max="2" width="14.33203125" style="2" customWidth="1"/>
    <col min="3" max="3" width="15.1640625" style="2" customWidth="1"/>
    <col min="4" max="5" width="10.83203125" style="2"/>
    <col min="6" max="6" width="12.6640625" style="2" customWidth="1"/>
    <col min="7" max="7" width="10.83203125" style="2"/>
    <col min="8" max="8" width="17.6640625" style="2" customWidth="1"/>
    <col min="9" max="16384" width="10.83203125" style="2"/>
  </cols>
  <sheetData>
    <row r="1" spans="1:11" ht="24" x14ac:dyDescent="0.3">
      <c r="D1" s="17" t="s">
        <v>65</v>
      </c>
    </row>
    <row r="3" spans="1:11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</row>
    <row r="4" spans="1:11" x14ac:dyDescent="0.2">
      <c r="A4" s="1"/>
      <c r="J4" s="1"/>
      <c r="K4" s="1"/>
    </row>
    <row r="5" spans="1:11" x14ac:dyDescent="0.2">
      <c r="A5" s="1"/>
      <c r="J5" s="1"/>
      <c r="K5" s="1"/>
    </row>
    <row r="6" spans="1:11" x14ac:dyDescent="0.2">
      <c r="A6" s="1"/>
      <c r="B6" s="41" t="s">
        <v>9</v>
      </c>
      <c r="C6" s="41"/>
      <c r="D6" s="1"/>
      <c r="E6" s="41" t="s">
        <v>0</v>
      </c>
      <c r="F6" s="41"/>
      <c r="G6" s="1"/>
      <c r="H6" s="41" t="s">
        <v>10</v>
      </c>
      <c r="I6" s="41"/>
      <c r="J6" s="1"/>
      <c r="K6" s="1"/>
    </row>
    <row r="7" spans="1:11" x14ac:dyDescent="0.2">
      <c r="A7" s="1"/>
      <c r="B7" s="3" t="s">
        <v>6</v>
      </c>
      <c r="C7" s="5">
        <v>99.99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</row>
    <row r="8" spans="1:11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1000</v>
      </c>
      <c r="J8" s="1"/>
      <c r="K8" s="1"/>
    </row>
    <row r="9" spans="1:11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</row>
    <row r="10" spans="1:11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8" t="s">
        <v>14</v>
      </c>
      <c r="G10" s="1"/>
      <c r="H10" s="1" t="s">
        <v>5</v>
      </c>
      <c r="I10" s="10">
        <v>1</v>
      </c>
      <c r="J10" s="1"/>
      <c r="K10" s="1"/>
    </row>
    <row r="11" spans="1:11" x14ac:dyDescent="0.2">
      <c r="A11" s="1"/>
      <c r="B11" s="15"/>
      <c r="C11" s="1"/>
      <c r="E11" s="1"/>
      <c r="G11" s="1"/>
      <c r="H11" s="2" t="s">
        <v>10</v>
      </c>
      <c r="I11" s="7" t="s">
        <v>58</v>
      </c>
      <c r="K11" s="1"/>
    </row>
    <row r="12" spans="1:11" x14ac:dyDescent="0.2">
      <c r="H12" s="1" t="s">
        <v>11</v>
      </c>
      <c r="I12" s="7" t="s">
        <v>12</v>
      </c>
      <c r="J12" s="1" t="s">
        <v>54</v>
      </c>
    </row>
    <row r="13" spans="1:11" x14ac:dyDescent="0.2">
      <c r="H13" s="2" t="s">
        <v>68</v>
      </c>
      <c r="I13" s="7" t="s">
        <v>67</v>
      </c>
    </row>
    <row r="15" spans="1:11" x14ac:dyDescent="0.2">
      <c r="B15" s="42" t="s">
        <v>33</v>
      </c>
      <c r="C15" s="42"/>
      <c r="E15" s="41" t="s">
        <v>59</v>
      </c>
      <c r="F15" s="41"/>
      <c r="G15" s="41"/>
      <c r="H15" s="41"/>
    </row>
    <row r="16" spans="1:11" x14ac:dyDescent="0.2">
      <c r="B16" s="12" t="s">
        <v>3</v>
      </c>
      <c r="C16" s="13" t="str">
        <f>IF(F10="European","MC EU Model",IF(I11="Longstaff","AM LS Model","AM Tree Model"))</f>
        <v>MC EU Model</v>
      </c>
      <c r="E16" s="40" t="s">
        <v>66</v>
      </c>
      <c r="F16" s="2" t="str">
        <f>F10 &amp; " " &amp; F7</f>
        <v>European Call</v>
      </c>
      <c r="G16" s="40" t="str">
        <f>I11</f>
        <v>Longstaff</v>
      </c>
      <c r="H16" s="2" t="str">
        <f>F10 &amp; " " &amp; F7</f>
        <v>European Call</v>
      </c>
    </row>
    <row r="17" spans="1:8" x14ac:dyDescent="0.2">
      <c r="A17" s="39" t="s">
        <v>56</v>
      </c>
      <c r="B17" s="10">
        <v>17.000457049565938</v>
      </c>
      <c r="C17" s="28">
        <v>17.674443245341788</v>
      </c>
      <c r="D17" s="2" t="s">
        <v>18</v>
      </c>
      <c r="E17" s="3" t="s">
        <v>60</v>
      </c>
      <c r="F17" s="7">
        <v>0.6607587651176785</v>
      </c>
      <c r="G17" s="3" t="s">
        <v>60</v>
      </c>
      <c r="H17" s="7">
        <v>1.1536607126914464</v>
      </c>
    </row>
    <row r="18" spans="1:8" x14ac:dyDescent="0.2">
      <c r="A18" s="39" t="s">
        <v>57</v>
      </c>
      <c r="B18" s="27">
        <v>6.8902969360351562E-5</v>
      </c>
      <c r="C18" s="27">
        <v>4.2290687561035156E-3</v>
      </c>
      <c r="D18" s="2" t="s">
        <v>22</v>
      </c>
      <c r="E18" s="3" t="s">
        <v>61</v>
      </c>
      <c r="F18" s="7">
        <v>1.1032463834496277E-2</v>
      </c>
      <c r="G18" s="3" t="s">
        <v>61</v>
      </c>
      <c r="H18" s="7">
        <v>2544.1946339444007</v>
      </c>
    </row>
    <row r="19" spans="1:8" x14ac:dyDescent="0.2">
      <c r="E19" s="3" t="s">
        <v>62</v>
      </c>
      <c r="F19" s="7">
        <v>0.60741965694872779</v>
      </c>
      <c r="G19" s="3" t="s">
        <v>62</v>
      </c>
      <c r="H19" s="7">
        <v>0.67323624674990867</v>
      </c>
    </row>
    <row r="20" spans="1:8" x14ac:dyDescent="0.2">
      <c r="E20" s="3" t="s">
        <v>63</v>
      </c>
      <c r="F20" s="7">
        <v>-1.0077029716841988E-2</v>
      </c>
      <c r="G20" s="3" t="s">
        <v>63</v>
      </c>
      <c r="H20" s="7">
        <v>-0.12134359225630575</v>
      </c>
    </row>
    <row r="21" spans="1:8" x14ac:dyDescent="0.2">
      <c r="E21" s="3" t="s">
        <v>64</v>
      </c>
      <c r="F21" s="7">
        <v>135.10727653129723</v>
      </c>
      <c r="G21" s="3" t="s">
        <v>64</v>
      </c>
      <c r="H21" s="7">
        <v>182.25168764706368</v>
      </c>
    </row>
  </sheetData>
  <mergeCells count="5">
    <mergeCell ref="B6:C6"/>
    <mergeCell ref="E6:F6"/>
    <mergeCell ref="H6:I6"/>
    <mergeCell ref="B15:C15"/>
    <mergeCell ref="E15:H15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7">
    <dataValidation type="list" allowBlank="1" showInputMessage="1" showErrorMessage="1" sqref="I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F7" xr:uid="{78BDAF44-9A59-B643-9C3F-6D72F8B07F15}">
      <formula1>"Call,Put"</formula1>
    </dataValidation>
    <dataValidation type="decimal" errorStyle="warning" operator="greaterThan" allowBlank="1" showInputMessage="1" showErrorMessage="1" errorTitle="T-t &gt; 0" sqref="F9 I7 C11" xr:uid="{BF710F17-C77E-A741-86D8-2D5FE4047D40}">
      <formula1>0</formula1>
    </dataValidation>
    <dataValidation type="list" allowBlank="1" showInputMessage="1" showErrorMessage="1" sqref="F10" xr:uid="{4154D55A-827D-C540-BFAC-2C6CFBCF9DCA}">
      <formula1>"European,American"</formula1>
    </dataValidation>
    <dataValidation type="list" allowBlank="1" showInputMessage="1" showErrorMessage="1" sqref="I11" xr:uid="{96BF790A-FEEC-CB4D-B23F-FA9A6FB9F265}">
      <formula1>"MC,Longstaff,Trinomial"</formula1>
    </dataValidation>
    <dataValidation type="list" allowBlank="1" showInputMessage="1" showErrorMessage="1" sqref="I13" xr:uid="{E95BC54F-21AF-0343-BD3D-F849BE1F97B4}">
      <formula1>"False,True"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zoomScale="106" workbookViewId="0">
      <selection activeCell="I12" sqref="I12"/>
    </sheetView>
  </sheetViews>
  <sheetFormatPr baseColWidth="10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5.83203125" style="2" customWidth="1"/>
    <col min="5" max="5" width="12.33203125" style="2" customWidth="1"/>
    <col min="6" max="6" width="15.5" style="2" customWidth="1"/>
    <col min="7" max="7" width="14.1640625" style="2" customWidth="1"/>
    <col min="8" max="8" width="14.1640625" style="2" bestFit="1" customWidth="1"/>
    <col min="9" max="9" width="12.6640625" style="2" customWidth="1"/>
    <col min="10" max="16384" width="10.83203125" style="2"/>
  </cols>
  <sheetData>
    <row r="1" spans="1:26" ht="24" x14ac:dyDescent="0.3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41" t="s">
        <v>9</v>
      </c>
      <c r="C6" s="41"/>
      <c r="D6" s="1"/>
      <c r="E6" s="41" t="s">
        <v>0</v>
      </c>
      <c r="F6" s="41"/>
      <c r="G6" s="1"/>
      <c r="H6" s="41" t="s">
        <v>10</v>
      </c>
      <c r="I6" s="4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G12" s="1"/>
      <c r="H12" s="2" t="s">
        <v>68</v>
      </c>
      <c r="I12" s="7" t="s">
        <v>67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5"/>
      <c r="B14" s="42" t="s">
        <v>33</v>
      </c>
      <c r="C14" s="42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0">
        <v>0.5</v>
      </c>
      <c r="B21" s="10">
        <v>12.699857116309779</v>
      </c>
    </row>
    <row r="22" spans="1:26" ht="19" x14ac:dyDescent="0.25">
      <c r="A22" s="2" t="s">
        <v>38</v>
      </c>
      <c r="B22" s="26" t="s">
        <v>37</v>
      </c>
      <c r="C22" s="20" t="s">
        <v>32</v>
      </c>
    </row>
    <row r="23" spans="1:26" x14ac:dyDescent="0.2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2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2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2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2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2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2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2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2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2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2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2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2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2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2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2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2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2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2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2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2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2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2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2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2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2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2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2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2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2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2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2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2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2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2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2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2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2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2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2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2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2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2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2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2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2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2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2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2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2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2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2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2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2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2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2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2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2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2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2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2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2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2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2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2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2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2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2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2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2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2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2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2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2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2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2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2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2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2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2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2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2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2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2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2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2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2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2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2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2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2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2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2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2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2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2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2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2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2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2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2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2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2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2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2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2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2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2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2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2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2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2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2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2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2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2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2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2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2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2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2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2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2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2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2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2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2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2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2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2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2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2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2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2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2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2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2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2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2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2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2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2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2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2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2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2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2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2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2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2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2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2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2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2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2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2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2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2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2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2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2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2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2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2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2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2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2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2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2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2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2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2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2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2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2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2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2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2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2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2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2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2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2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2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2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2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2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2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2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2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2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2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2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2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2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2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2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2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2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2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2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2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2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2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2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2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2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2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2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2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2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2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2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2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2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2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2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2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2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2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2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2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2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2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2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2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2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2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2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2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2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2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2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2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2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2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2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2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2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2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2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2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2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2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2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2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2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="135" workbookViewId="0">
      <selection activeCell="H10" sqref="H10:I10"/>
    </sheetView>
  </sheetViews>
  <sheetFormatPr baseColWidth="10" defaultRowHeight="16" x14ac:dyDescent="0.2"/>
  <cols>
    <col min="1" max="1" width="10.83203125" style="2"/>
    <col min="2" max="2" width="17.33203125" style="2" bestFit="1" customWidth="1"/>
    <col min="3" max="3" width="10.5" style="2" customWidth="1"/>
    <col min="4" max="7" width="10.83203125" style="2"/>
    <col min="8" max="8" width="16.83203125" style="2" customWidth="1"/>
    <col min="9" max="16384" width="10.83203125" style="2"/>
  </cols>
  <sheetData>
    <row r="1" spans="2:24" ht="24" x14ac:dyDescent="0.3">
      <c r="D1" s="17" t="s">
        <v>28</v>
      </c>
    </row>
    <row r="4" spans="2:24" x14ac:dyDescent="0.2">
      <c r="B4" s="41" t="s">
        <v>9</v>
      </c>
      <c r="C4" s="41"/>
      <c r="D4" s="1"/>
      <c r="E4" s="41" t="s">
        <v>0</v>
      </c>
      <c r="F4" s="41"/>
      <c r="G4" s="1"/>
      <c r="H4" s="41" t="s">
        <v>10</v>
      </c>
      <c r="I4" s="41"/>
    </row>
    <row r="5" spans="2:24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x14ac:dyDescent="0.2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2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2">
      <c r="F10" s="1"/>
      <c r="H10" s="2" t="s">
        <v>68</v>
      </c>
      <c r="I10" s="7" t="s">
        <v>67</v>
      </c>
    </row>
    <row r="11" spans="2:24" x14ac:dyDescent="0.2">
      <c r="B11" s="2" t="s">
        <v>30</v>
      </c>
      <c r="C11" s="11">
        <v>0.01</v>
      </c>
    </row>
    <row r="12" spans="2:24" x14ac:dyDescent="0.2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2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</row>
    <row r="14" spans="2:24" x14ac:dyDescent="0.2">
      <c r="N14" s="2" t="s">
        <v>31</v>
      </c>
    </row>
    <row r="15" spans="2:24" ht="19" x14ac:dyDescent="0.2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2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2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2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2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2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2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2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2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2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2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2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2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2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2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2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2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2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2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2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2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2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2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2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2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2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I151"/>
  <sheetViews>
    <sheetView zoomScale="125" workbookViewId="0">
      <selection activeCell="D9" sqref="D9"/>
    </sheetView>
  </sheetViews>
  <sheetFormatPr baseColWidth="10" defaultRowHeight="16" x14ac:dyDescent="0.2"/>
  <cols>
    <col min="1" max="7" width="10.83203125" style="2"/>
    <col min="8" max="8" width="16" style="2" customWidth="1"/>
    <col min="9" max="16384" width="10.83203125" style="2"/>
  </cols>
  <sheetData>
    <row r="1" spans="1:9" ht="24" x14ac:dyDescent="0.3">
      <c r="D1" s="17" t="s">
        <v>48</v>
      </c>
    </row>
    <row r="4" spans="1:9" x14ac:dyDescent="0.2">
      <c r="B4" s="41" t="s">
        <v>9</v>
      </c>
      <c r="C4" s="41"/>
      <c r="D4" s="1"/>
      <c r="E4" s="41" t="s">
        <v>0</v>
      </c>
      <c r="F4" s="41"/>
      <c r="G4" s="1"/>
      <c r="H4" s="41" t="s">
        <v>10</v>
      </c>
      <c r="I4" s="41"/>
    </row>
    <row r="5" spans="1:9" x14ac:dyDescent="0.2">
      <c r="B5" s="3" t="s">
        <v>6</v>
      </c>
      <c r="C5" s="5">
        <v>75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x14ac:dyDescent="0.2">
      <c r="B6" s="3" t="s">
        <v>7</v>
      </c>
      <c r="C6" s="8">
        <v>0.5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10000</v>
      </c>
    </row>
    <row r="7" spans="1:9" x14ac:dyDescent="0.2">
      <c r="B7" s="3" t="s">
        <v>8</v>
      </c>
      <c r="C7" s="43">
        <v>-2.5000000000000001E-2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100</v>
      </c>
    </row>
    <row r="8" spans="1:9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2">
      <c r="H10" s="2" t="s">
        <v>68</v>
      </c>
      <c r="I10" s="7" t="s">
        <v>67</v>
      </c>
    </row>
    <row r="12" spans="1:9" x14ac:dyDescent="0.2">
      <c r="A12" s="2" t="s">
        <v>55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</row>
    <row r="13" spans="1:9" x14ac:dyDescent="0.2">
      <c r="A13" s="24">
        <v>10</v>
      </c>
      <c r="B13" s="2">
        <v>16.025884724413967</v>
      </c>
      <c r="C13" s="2">
        <v>16.091346996392044</v>
      </c>
      <c r="D13" s="2">
        <v>15.592640020591743</v>
      </c>
      <c r="E13" s="2">
        <v>16.62242811703187</v>
      </c>
      <c r="F13" s="2">
        <v>16.797150057250356</v>
      </c>
      <c r="G13" s="2">
        <v>17.214177010201499</v>
      </c>
    </row>
    <row r="14" spans="1:9" x14ac:dyDescent="0.2">
      <c r="A14" s="25">
        <v>15</v>
      </c>
      <c r="B14" s="2">
        <v>17.249128556173368</v>
      </c>
      <c r="C14" s="2">
        <v>15.950104280176783</v>
      </c>
      <c r="D14" s="2">
        <v>17.870336481902058</v>
      </c>
      <c r="E14" s="2">
        <v>18.366828787337944</v>
      </c>
      <c r="F14" s="2">
        <v>17.952491373494937</v>
      </c>
      <c r="G14" s="2">
        <v>18.516646892244985</v>
      </c>
    </row>
    <row r="15" spans="1:9" x14ac:dyDescent="0.2">
      <c r="A15" s="25">
        <v>20</v>
      </c>
      <c r="B15" s="2">
        <v>13.132327641981368</v>
      </c>
      <c r="C15" s="2">
        <v>13.518752930996561</v>
      </c>
      <c r="D15" s="2">
        <v>14.655043125264376</v>
      </c>
      <c r="E15" s="2">
        <v>15.165026652109059</v>
      </c>
      <c r="F15" s="2">
        <v>15.585491923556896</v>
      </c>
      <c r="G15" s="2">
        <v>15.26693065684027</v>
      </c>
    </row>
    <row r="16" spans="1:9" x14ac:dyDescent="0.2">
      <c r="A16" s="25">
        <v>25</v>
      </c>
      <c r="B16" s="2">
        <v>13.768195560879958</v>
      </c>
      <c r="C16" s="2">
        <v>14.798569434072345</v>
      </c>
      <c r="D16" s="2">
        <v>15.060247079387668</v>
      </c>
      <c r="E16" s="2">
        <v>16.216421337153836</v>
      </c>
      <c r="F16" s="2">
        <v>15.920513412523</v>
      </c>
      <c r="G16" s="2">
        <v>15.351366401093294</v>
      </c>
    </row>
    <row r="17" spans="1:7" x14ac:dyDescent="0.2">
      <c r="A17" s="25">
        <v>30</v>
      </c>
      <c r="B17" s="2">
        <v>15.724228276134543</v>
      </c>
      <c r="C17" s="2">
        <v>16.56962548475499</v>
      </c>
      <c r="D17" s="2">
        <v>15.747512945469046</v>
      </c>
      <c r="E17" s="2">
        <v>17.227238566916522</v>
      </c>
      <c r="F17" s="2">
        <v>17.038592922015965</v>
      </c>
      <c r="G17" s="2">
        <v>17.546345359770658</v>
      </c>
    </row>
    <row r="18" spans="1:7" x14ac:dyDescent="0.2">
      <c r="A18" s="25">
        <v>35</v>
      </c>
      <c r="B18" s="2">
        <v>14.652022917159446</v>
      </c>
      <c r="C18" s="2">
        <v>15.872794144201336</v>
      </c>
      <c r="D18" s="2">
        <v>16.012124420824623</v>
      </c>
      <c r="E18" s="2">
        <v>16.834360720893983</v>
      </c>
      <c r="F18" s="2">
        <v>16.596151853905496</v>
      </c>
      <c r="G18" s="2">
        <v>16.178658830792866</v>
      </c>
    </row>
    <row r="19" spans="1:7" x14ac:dyDescent="0.2">
      <c r="A19" s="25">
        <v>40</v>
      </c>
      <c r="B19" s="2">
        <v>13.368788170462715</v>
      </c>
      <c r="C19" s="2">
        <v>15.945893153853074</v>
      </c>
      <c r="D19" s="2">
        <v>15.580839160417645</v>
      </c>
      <c r="E19" s="2">
        <v>17.049915936935289</v>
      </c>
      <c r="F19" s="2">
        <v>17.313839886486676</v>
      </c>
      <c r="G19" s="2">
        <v>16.491966170047295</v>
      </c>
    </row>
    <row r="20" spans="1:7" x14ac:dyDescent="0.2">
      <c r="A20" s="25">
        <v>45</v>
      </c>
      <c r="B20" s="2">
        <v>15.992690877989446</v>
      </c>
      <c r="C20" s="2">
        <v>16.741604659610623</v>
      </c>
      <c r="D20" s="2">
        <v>16.767299506974322</v>
      </c>
      <c r="E20" s="2">
        <v>17.450475788372728</v>
      </c>
      <c r="F20" s="2">
        <v>18.042872972768357</v>
      </c>
      <c r="G20" s="2">
        <v>17.962208693969512</v>
      </c>
    </row>
    <row r="21" spans="1:7" x14ac:dyDescent="0.2">
      <c r="A21" s="25">
        <v>50</v>
      </c>
      <c r="B21" s="2">
        <v>16.336987229043704</v>
      </c>
      <c r="C21" s="2">
        <v>18.914555577730926</v>
      </c>
      <c r="D21" s="2">
        <v>18.069523081739657</v>
      </c>
      <c r="E21" s="2">
        <v>18.846341984969094</v>
      </c>
      <c r="F21" s="2">
        <v>19.121749479241508</v>
      </c>
      <c r="G21" s="2">
        <v>19.240578360880658</v>
      </c>
    </row>
    <row r="22" spans="1:7" x14ac:dyDescent="0.2">
      <c r="A22" s="25">
        <v>55</v>
      </c>
      <c r="B22" s="2">
        <v>11.453371943661304</v>
      </c>
      <c r="C22" s="2">
        <v>16.80944012197557</v>
      </c>
      <c r="D22" s="2">
        <v>16.509700030080936</v>
      </c>
      <c r="E22" s="2">
        <v>16.252509322176692</v>
      </c>
      <c r="F22" s="2">
        <v>16.202293163218993</v>
      </c>
      <c r="G22" s="2">
        <v>17.418700653316769</v>
      </c>
    </row>
    <row r="23" spans="1:7" x14ac:dyDescent="0.2">
      <c r="A23" s="25">
        <v>60</v>
      </c>
      <c r="B23" s="2">
        <v>16.050780916306458</v>
      </c>
      <c r="C23" s="2">
        <v>16.450812769668378</v>
      </c>
      <c r="D23" s="2">
        <v>17.052711133654412</v>
      </c>
      <c r="E23" s="2">
        <v>17.05249432166141</v>
      </c>
      <c r="F23" s="2">
        <v>15.678252760680088</v>
      </c>
      <c r="G23" s="2">
        <v>17.319477891153763</v>
      </c>
    </row>
    <row r="24" spans="1:7" x14ac:dyDescent="0.2">
      <c r="A24" s="25">
        <v>65</v>
      </c>
      <c r="B24" s="2">
        <v>15.823142798742726</v>
      </c>
      <c r="C24" s="2">
        <v>16.025741949269957</v>
      </c>
      <c r="D24" s="2">
        <v>19.414662685891148</v>
      </c>
      <c r="E24" s="2">
        <v>18.283947692228018</v>
      </c>
      <c r="F24" s="2">
        <v>18.435405376300245</v>
      </c>
      <c r="G24" s="2">
        <v>18.948289451518306</v>
      </c>
    </row>
    <row r="25" spans="1:7" x14ac:dyDescent="0.2">
      <c r="A25" s="25">
        <v>70</v>
      </c>
      <c r="B25" s="2">
        <v>15.557350713168416</v>
      </c>
      <c r="C25" s="2">
        <v>16.491153141752768</v>
      </c>
      <c r="D25" s="2">
        <v>16.579802392975928</v>
      </c>
      <c r="E25" s="2">
        <v>16.801251451100065</v>
      </c>
      <c r="F25" s="2">
        <v>17.062038991268498</v>
      </c>
      <c r="G25" s="2">
        <v>17.665870149435523</v>
      </c>
    </row>
    <row r="26" spans="1:7" x14ac:dyDescent="0.2">
      <c r="A26" s="25">
        <v>75</v>
      </c>
      <c r="B26" s="2">
        <v>15.862463109506985</v>
      </c>
      <c r="C26" s="2">
        <v>16.722431770607475</v>
      </c>
      <c r="D26" s="2">
        <v>18.373570142371971</v>
      </c>
      <c r="E26" s="2">
        <v>19.151468360544989</v>
      </c>
      <c r="F26" s="2">
        <v>19.085664161217309</v>
      </c>
      <c r="G26" s="2">
        <v>18.514291514112216</v>
      </c>
    </row>
    <row r="27" spans="1:7" x14ac:dyDescent="0.2">
      <c r="A27" s="25">
        <v>80</v>
      </c>
      <c r="B27" s="2">
        <v>15.945852026021887</v>
      </c>
      <c r="C27" s="2">
        <v>15.299266120180393</v>
      </c>
      <c r="D27" s="2">
        <v>15.448515978159016</v>
      </c>
      <c r="E27" s="2">
        <v>17.432133730728843</v>
      </c>
      <c r="F27" s="2">
        <v>16.92774875134813</v>
      </c>
      <c r="G27" s="2">
        <v>17.487896985511707</v>
      </c>
    </row>
    <row r="28" spans="1:7" x14ac:dyDescent="0.2">
      <c r="A28" s="25">
        <v>85</v>
      </c>
      <c r="B28" s="2">
        <v>17.029123718255399</v>
      </c>
      <c r="C28" s="2">
        <v>13.286538618534955</v>
      </c>
      <c r="D28" s="2">
        <v>14.565365344973074</v>
      </c>
      <c r="E28" s="2">
        <v>17.843390253169709</v>
      </c>
      <c r="F28" s="2">
        <v>17.975025552136348</v>
      </c>
      <c r="G28" s="2">
        <v>18.297129583114113</v>
      </c>
    </row>
    <row r="29" spans="1:7" x14ac:dyDescent="0.2">
      <c r="A29" s="25">
        <v>90</v>
      </c>
      <c r="B29" s="2">
        <v>13.502902131647257</v>
      </c>
      <c r="C29" s="2">
        <v>16.287491531942038</v>
      </c>
      <c r="D29" s="2">
        <v>16.392103485282341</v>
      </c>
      <c r="E29" s="2">
        <v>17.378705631564674</v>
      </c>
      <c r="F29" s="2">
        <v>16.984803300068677</v>
      </c>
      <c r="G29" s="2">
        <v>17.262982867264096</v>
      </c>
    </row>
    <row r="30" spans="1:7" x14ac:dyDescent="0.2">
      <c r="A30" s="25">
        <v>95</v>
      </c>
      <c r="B30" s="2">
        <v>14.998003714564362</v>
      </c>
      <c r="C30" s="2">
        <v>15.457758367525239</v>
      </c>
      <c r="D30" s="2">
        <v>15.887136485991707</v>
      </c>
      <c r="E30" s="2">
        <v>16.052000194846752</v>
      </c>
      <c r="F30" s="2">
        <v>15.858201216572754</v>
      </c>
      <c r="G30" s="2">
        <v>16.266538457403573</v>
      </c>
    </row>
    <row r="31" spans="1:7" x14ac:dyDescent="0.2">
      <c r="A31" s="25">
        <v>100</v>
      </c>
      <c r="B31" s="2">
        <v>15.249761794273747</v>
      </c>
      <c r="C31" s="2">
        <v>17.233093948174584</v>
      </c>
      <c r="D31" s="2">
        <v>17.757351544625035</v>
      </c>
      <c r="E31" s="2">
        <v>17.238449357224503</v>
      </c>
      <c r="F31" s="2">
        <v>18.007267141240966</v>
      </c>
      <c r="G31" s="2">
        <v>16.779594790790444</v>
      </c>
    </row>
    <row r="32" spans="1:7" x14ac:dyDescent="0.2">
      <c r="A32" s="25">
        <v>110</v>
      </c>
      <c r="B32" s="2">
        <v>13.9003384076993</v>
      </c>
      <c r="C32" s="2">
        <v>15.725470221953264</v>
      </c>
      <c r="D32" s="2">
        <v>16.941343995254297</v>
      </c>
      <c r="E32" s="2">
        <v>17.563665309820347</v>
      </c>
      <c r="F32" s="2">
        <v>17.865401471962233</v>
      </c>
      <c r="G32" s="2">
        <v>18.674260052659992</v>
      </c>
    </row>
    <row r="33" spans="1:7" x14ac:dyDescent="0.2">
      <c r="A33" s="25">
        <v>120</v>
      </c>
      <c r="B33" s="2">
        <v>14.045774493029628</v>
      </c>
      <c r="C33" s="2">
        <v>16.298792649042355</v>
      </c>
      <c r="D33" s="2">
        <v>14.724803228943886</v>
      </c>
      <c r="E33" s="2">
        <v>17.716966321116356</v>
      </c>
      <c r="F33" s="2">
        <v>17.052575206521166</v>
      </c>
      <c r="G33" s="2">
        <v>17.051039528250808</v>
      </c>
    </row>
    <row r="34" spans="1:7" x14ac:dyDescent="0.2">
      <c r="A34" s="25">
        <v>130</v>
      </c>
      <c r="B34" s="2">
        <v>17.369095290190398</v>
      </c>
      <c r="C34" s="2">
        <v>16.980916244927634</v>
      </c>
      <c r="D34" s="2">
        <v>18.203691245272914</v>
      </c>
      <c r="E34" s="2">
        <v>18.953850311324342</v>
      </c>
      <c r="F34" s="2">
        <v>18.886602022161195</v>
      </c>
      <c r="G34" s="2">
        <v>18.602409341959728</v>
      </c>
    </row>
    <row r="35" spans="1:7" x14ac:dyDescent="0.2">
      <c r="A35" s="25">
        <v>140</v>
      </c>
      <c r="B35" s="2">
        <v>16.147025699738489</v>
      </c>
      <c r="C35" s="2">
        <v>15.779919486930144</v>
      </c>
      <c r="D35" s="2">
        <v>16.115386993463957</v>
      </c>
      <c r="E35" s="2">
        <v>16.976105989437507</v>
      </c>
      <c r="F35" s="2">
        <v>16.405890789074316</v>
      </c>
      <c r="G35" s="2">
        <v>16.914505056877182</v>
      </c>
    </row>
    <row r="36" spans="1:7" x14ac:dyDescent="0.2">
      <c r="A36" s="25">
        <v>150</v>
      </c>
      <c r="B36" s="2">
        <v>16.924509787942558</v>
      </c>
      <c r="C36" s="2">
        <v>18.229763323762075</v>
      </c>
      <c r="D36" s="2">
        <v>18.587844437136557</v>
      </c>
      <c r="E36" s="2">
        <v>18.016662338174086</v>
      </c>
      <c r="F36" s="2">
        <v>19.558834574347518</v>
      </c>
      <c r="G36" s="2">
        <v>19.126820927172915</v>
      </c>
    </row>
    <row r="37" spans="1:7" x14ac:dyDescent="0.2">
      <c r="A37" s="25">
        <v>160</v>
      </c>
      <c r="B37" s="2">
        <v>17.97957998422903</v>
      </c>
      <c r="C37" s="2">
        <v>18.156188521582624</v>
      </c>
      <c r="D37" s="2">
        <v>19.269089310385269</v>
      </c>
      <c r="E37" s="2">
        <v>18.56829745380125</v>
      </c>
      <c r="F37" s="2">
        <v>18.524177642470903</v>
      </c>
      <c r="G37" s="2">
        <v>18.911122115673717</v>
      </c>
    </row>
    <row r="38" spans="1:7" x14ac:dyDescent="0.2">
      <c r="A38" s="25">
        <v>170</v>
      </c>
      <c r="B38" s="2">
        <v>15.93431592468529</v>
      </c>
      <c r="C38" s="2">
        <v>16.395318822182709</v>
      </c>
      <c r="D38" s="2">
        <v>14.925372217246878</v>
      </c>
      <c r="E38" s="2">
        <v>16.392057868663244</v>
      </c>
      <c r="F38" s="2">
        <v>16.912935210430025</v>
      </c>
      <c r="G38" s="2">
        <v>14.936076083652294</v>
      </c>
    </row>
    <row r="39" spans="1:7" x14ac:dyDescent="0.2">
      <c r="A39" s="25">
        <v>180</v>
      </c>
      <c r="B39" s="2">
        <v>15.974133804367019</v>
      </c>
      <c r="C39" s="2">
        <v>16.828565215074178</v>
      </c>
      <c r="D39" s="2">
        <v>18.159116942937253</v>
      </c>
      <c r="E39" s="2">
        <v>18.646996081750846</v>
      </c>
      <c r="F39" s="2">
        <v>17.868579936086888</v>
      </c>
      <c r="G39" s="2">
        <v>17.095361748854209</v>
      </c>
    </row>
    <row r="40" spans="1:7" x14ac:dyDescent="0.2">
      <c r="A40" s="25">
        <v>190</v>
      </c>
      <c r="B40" s="2">
        <v>14.492667422031476</v>
      </c>
      <c r="C40" s="2">
        <v>16.420052445063135</v>
      </c>
      <c r="D40" s="2">
        <v>17.276852822579986</v>
      </c>
      <c r="E40" s="2">
        <v>17.25225229197817</v>
      </c>
      <c r="F40" s="2">
        <v>17.859836708618136</v>
      </c>
      <c r="G40" s="2">
        <v>17.659419899955779</v>
      </c>
    </row>
    <row r="41" spans="1:7" x14ac:dyDescent="0.2">
      <c r="A41" s="25">
        <v>200</v>
      </c>
      <c r="B41" s="2">
        <v>14.864750738461449</v>
      </c>
      <c r="C41" s="2">
        <v>16.115819736486504</v>
      </c>
      <c r="D41" s="2">
        <v>16.365534521763745</v>
      </c>
      <c r="E41" s="2">
        <v>17.334005496615429</v>
      </c>
      <c r="F41" s="2">
        <v>17.683641109192763</v>
      </c>
      <c r="G41" s="2">
        <v>17.49118523882607</v>
      </c>
    </row>
    <row r="42" spans="1:7" x14ac:dyDescent="0.2">
      <c r="A42" s="25">
        <v>205</v>
      </c>
      <c r="B42" s="2">
        <v>16.006256667099063</v>
      </c>
      <c r="C42" s="2">
        <v>15.820932563600854</v>
      </c>
      <c r="D42" s="2">
        <v>17.134314795005047</v>
      </c>
      <c r="E42" s="2">
        <v>17.674291960569828</v>
      </c>
      <c r="F42" s="2">
        <v>17.563455442841956</v>
      </c>
      <c r="G42" s="2">
        <v>16.833640626368609</v>
      </c>
    </row>
    <row r="43" spans="1:7" x14ac:dyDescent="0.2">
      <c r="A43" s="25">
        <v>210</v>
      </c>
      <c r="B43" s="2">
        <v>15.435069278474876</v>
      </c>
      <c r="C43" s="2">
        <v>15.330237084360981</v>
      </c>
      <c r="D43" s="2">
        <v>16.558362523533855</v>
      </c>
      <c r="E43" s="2">
        <v>16.460171077450532</v>
      </c>
      <c r="F43" s="2">
        <v>15.270739946324575</v>
      </c>
      <c r="G43" s="2">
        <v>15.246185462757834</v>
      </c>
    </row>
    <row r="44" spans="1:7" x14ac:dyDescent="0.2">
      <c r="A44" s="25">
        <v>215</v>
      </c>
      <c r="B44" s="2">
        <v>16.437658079863262</v>
      </c>
      <c r="C44" s="2">
        <v>17.509185525655429</v>
      </c>
      <c r="D44" s="2">
        <v>17.892176521378094</v>
      </c>
      <c r="E44" s="2">
        <v>18.616346577010709</v>
      </c>
      <c r="F44" s="2">
        <v>17.754942172484917</v>
      </c>
      <c r="G44" s="2">
        <v>18.439084341391993</v>
      </c>
    </row>
    <row r="45" spans="1:7" x14ac:dyDescent="0.2">
      <c r="A45" s="25">
        <v>220</v>
      </c>
      <c r="B45" s="2">
        <v>14.092753198171366</v>
      </c>
      <c r="C45" s="2">
        <v>15.892322365332062</v>
      </c>
      <c r="D45" s="2">
        <v>16.988764470831899</v>
      </c>
      <c r="E45" s="2">
        <v>16.534600424305808</v>
      </c>
      <c r="F45" s="2">
        <v>17.015811303518966</v>
      </c>
      <c r="G45" s="2">
        <v>17.658945731385021</v>
      </c>
    </row>
    <row r="46" spans="1:7" x14ac:dyDescent="0.2">
      <c r="A46" s="25">
        <v>225</v>
      </c>
      <c r="B46" s="2">
        <v>16.495369919736557</v>
      </c>
      <c r="C46" s="2">
        <v>17.987710691206829</v>
      </c>
      <c r="D46" s="2">
        <v>17.229925303852131</v>
      </c>
      <c r="E46" s="2">
        <v>18.351615374826554</v>
      </c>
      <c r="F46" s="2">
        <v>18.001008723647463</v>
      </c>
      <c r="G46" s="2">
        <v>19.003208714947633</v>
      </c>
    </row>
    <row r="47" spans="1:7" x14ac:dyDescent="0.2">
      <c r="A47" s="25">
        <v>230</v>
      </c>
      <c r="B47" s="2">
        <v>14.399471278769649</v>
      </c>
      <c r="C47" s="2">
        <v>15.797211743806633</v>
      </c>
      <c r="D47" s="2">
        <v>18.955228952472144</v>
      </c>
      <c r="E47" s="2">
        <v>14.822760977321538</v>
      </c>
      <c r="F47" s="2">
        <v>16.0675052938116</v>
      </c>
      <c r="G47" s="2">
        <v>16.198447141096278</v>
      </c>
    </row>
    <row r="48" spans="1:7" x14ac:dyDescent="0.2">
      <c r="A48" s="25">
        <v>235</v>
      </c>
      <c r="B48" s="2">
        <v>17.349896819226583</v>
      </c>
      <c r="C48" s="2">
        <v>17.784785127227487</v>
      </c>
      <c r="D48" s="2">
        <v>18.679697937643233</v>
      </c>
      <c r="E48" s="2">
        <v>18.88583328063649</v>
      </c>
      <c r="F48" s="2">
        <v>17.750732032822427</v>
      </c>
      <c r="G48" s="2">
        <v>19.054418497385036</v>
      </c>
    </row>
    <row r="49" spans="1:7" x14ac:dyDescent="0.2">
      <c r="A49" s="25">
        <v>240</v>
      </c>
      <c r="B49" s="2">
        <v>16.081776056661337</v>
      </c>
      <c r="C49" s="2">
        <v>17.906894403787589</v>
      </c>
      <c r="D49" s="2">
        <v>17.617307720104474</v>
      </c>
      <c r="E49" s="2">
        <v>17.632944952267891</v>
      </c>
      <c r="F49" s="2">
        <v>18.278015704031731</v>
      </c>
      <c r="G49" s="2">
        <v>15.59470476158506</v>
      </c>
    </row>
    <row r="50" spans="1:7" x14ac:dyDescent="0.2">
      <c r="A50" s="25">
        <v>245</v>
      </c>
      <c r="B50" s="2">
        <v>17.765940566082907</v>
      </c>
      <c r="C50" s="2">
        <v>17.75781730839352</v>
      </c>
      <c r="D50" s="2">
        <v>16.680576691405086</v>
      </c>
      <c r="E50" s="2">
        <v>17.576143022343384</v>
      </c>
      <c r="F50" s="2">
        <v>17.889017657363656</v>
      </c>
      <c r="G50" s="2">
        <v>16.524686822630994</v>
      </c>
    </row>
    <row r="51" spans="1:7" x14ac:dyDescent="0.2">
      <c r="A51" s="25">
        <v>250</v>
      </c>
      <c r="B51" s="2">
        <v>18.005416403871124</v>
      </c>
      <c r="C51" s="2">
        <v>17.883984058750162</v>
      </c>
      <c r="D51" s="2">
        <v>18.396479901246803</v>
      </c>
      <c r="E51" s="2">
        <v>19.343534394782868</v>
      </c>
      <c r="F51" s="2">
        <v>18.342118204630534</v>
      </c>
      <c r="G51" s="2">
        <v>17.736401885507824</v>
      </c>
    </row>
    <row r="52" spans="1:7" x14ac:dyDescent="0.2">
      <c r="A52" s="25">
        <v>255</v>
      </c>
      <c r="B52" s="2">
        <v>16.090392050401068</v>
      </c>
      <c r="C52" s="2">
        <v>15.018636616519164</v>
      </c>
      <c r="D52" s="2">
        <v>15.911634785054495</v>
      </c>
      <c r="E52" s="2">
        <v>15.959086796916402</v>
      </c>
      <c r="F52" s="2">
        <v>16.875458985966123</v>
      </c>
      <c r="G52" s="2">
        <v>14.512350868250603</v>
      </c>
    </row>
    <row r="53" spans="1:7" x14ac:dyDescent="0.2">
      <c r="A53" s="25">
        <v>260</v>
      </c>
      <c r="B53" s="2">
        <v>16.082834898769935</v>
      </c>
      <c r="C53" s="2">
        <v>15.68669288675283</v>
      </c>
      <c r="D53" s="2">
        <v>16.053686952501899</v>
      </c>
      <c r="E53" s="2">
        <v>16.844114084155276</v>
      </c>
      <c r="F53" s="2">
        <v>16.460321171254332</v>
      </c>
      <c r="G53" s="2">
        <v>18.454950715704751</v>
      </c>
    </row>
    <row r="54" spans="1:7" x14ac:dyDescent="0.2">
      <c r="A54" s="25">
        <v>265</v>
      </c>
      <c r="B54" s="2">
        <v>16.116531057305256</v>
      </c>
      <c r="C54" s="2">
        <v>16.879869613427438</v>
      </c>
      <c r="D54" s="2">
        <v>18.458275570730489</v>
      </c>
      <c r="E54" s="2">
        <v>17.008926978799895</v>
      </c>
      <c r="F54" s="2">
        <v>18.366611169933023</v>
      </c>
      <c r="G54" s="2">
        <v>18.115848396725458</v>
      </c>
    </row>
    <row r="55" spans="1:7" x14ac:dyDescent="0.2">
      <c r="A55" s="25">
        <v>270</v>
      </c>
      <c r="B55" s="2">
        <v>16.186178626114916</v>
      </c>
      <c r="C55" s="2">
        <v>16.690002409441622</v>
      </c>
      <c r="D55" s="2">
        <v>16.789677858097207</v>
      </c>
      <c r="E55" s="2">
        <v>16.635408811207984</v>
      </c>
      <c r="F55" s="2">
        <v>16.687523223275665</v>
      </c>
      <c r="G55" s="2">
        <v>17.093595349711954</v>
      </c>
    </row>
    <row r="56" spans="1:7" x14ac:dyDescent="0.2">
      <c r="A56" s="25">
        <v>275</v>
      </c>
      <c r="B56" s="2">
        <v>15.03030474020513</v>
      </c>
      <c r="C56" s="2">
        <v>15.532088920075502</v>
      </c>
      <c r="D56" s="2">
        <v>13.594559262562525</v>
      </c>
      <c r="E56" s="2">
        <v>14.847341415667433</v>
      </c>
      <c r="F56" s="2">
        <v>16.733880390418388</v>
      </c>
      <c r="G56" s="2">
        <v>15.424543875261785</v>
      </c>
    </row>
    <row r="57" spans="1:7" x14ac:dyDescent="0.2">
      <c r="A57" s="25">
        <v>280</v>
      </c>
      <c r="B57" s="2">
        <v>13.608773371064114</v>
      </c>
      <c r="C57" s="2">
        <v>14.727423671435286</v>
      </c>
      <c r="D57" s="2">
        <v>14.480383547904109</v>
      </c>
      <c r="E57" s="2">
        <v>15.770721868660026</v>
      </c>
      <c r="F57" s="2">
        <v>15.567229805954611</v>
      </c>
      <c r="G57" s="2">
        <v>15.723815185710613</v>
      </c>
    </row>
    <row r="58" spans="1:7" x14ac:dyDescent="0.2">
      <c r="A58" s="25">
        <v>285</v>
      </c>
      <c r="B58" s="2">
        <v>16.363719326591241</v>
      </c>
      <c r="C58" s="2">
        <v>16.690611062662281</v>
      </c>
      <c r="D58" s="2">
        <v>16.891864207822138</v>
      </c>
      <c r="E58" s="2">
        <v>17.173245527065571</v>
      </c>
      <c r="F58" s="2">
        <v>15.391685731993499</v>
      </c>
      <c r="G58" s="2">
        <v>15.353609704141927</v>
      </c>
    </row>
    <row r="59" spans="1:7" x14ac:dyDescent="0.2">
      <c r="A59" s="25">
        <v>290</v>
      </c>
      <c r="B59" s="2">
        <v>14.85843011764509</v>
      </c>
      <c r="C59" s="2">
        <v>15.005748077221943</v>
      </c>
      <c r="D59" s="2">
        <v>14.733367094886701</v>
      </c>
      <c r="E59" s="2">
        <v>15.550709228696451</v>
      </c>
      <c r="F59" s="2">
        <v>15.585554810320327</v>
      </c>
      <c r="G59" s="2">
        <v>15.702919209645614</v>
      </c>
    </row>
    <row r="60" spans="1:7" x14ac:dyDescent="0.2">
      <c r="A60" s="25">
        <v>295</v>
      </c>
      <c r="B60" s="2">
        <v>15.076088539556521</v>
      </c>
      <c r="C60" s="2">
        <v>15.232393741432386</v>
      </c>
      <c r="D60" s="2">
        <v>15.067507157145673</v>
      </c>
      <c r="E60" s="2">
        <v>15.216799584149669</v>
      </c>
      <c r="F60" s="2">
        <v>14.915514031558006</v>
      </c>
      <c r="G60" s="2">
        <v>15.180302863518076</v>
      </c>
    </row>
    <row r="61" spans="1:7" x14ac:dyDescent="0.2">
      <c r="A61" s="25">
        <v>300</v>
      </c>
      <c r="B61" s="2">
        <v>15.903348954849543</v>
      </c>
      <c r="C61" s="2">
        <v>16.296837653214652</v>
      </c>
      <c r="D61" s="2">
        <v>16.864527559465873</v>
      </c>
      <c r="E61" s="2">
        <v>17.247048266785303</v>
      </c>
      <c r="F61" s="2">
        <v>17.894323556509811</v>
      </c>
      <c r="G61" s="2">
        <v>16.903373974815803</v>
      </c>
    </row>
    <row r="62" spans="1:7" x14ac:dyDescent="0.2">
      <c r="A62" s="25">
        <v>305</v>
      </c>
      <c r="B62" s="2">
        <v>14.404034458760249</v>
      </c>
      <c r="C62" s="2">
        <v>14.269672930747561</v>
      </c>
      <c r="D62" s="2">
        <v>15.278821545542042</v>
      </c>
      <c r="E62" s="2">
        <v>15.775750517241361</v>
      </c>
      <c r="F62" s="2">
        <v>14.030686537754761</v>
      </c>
      <c r="G62" s="2">
        <v>12.723864546448718</v>
      </c>
    </row>
    <row r="63" spans="1:7" x14ac:dyDescent="0.2">
      <c r="A63" s="25">
        <v>310</v>
      </c>
      <c r="B63" s="2">
        <v>15.384558890162715</v>
      </c>
      <c r="C63" s="2">
        <v>15.047552400219452</v>
      </c>
      <c r="D63" s="2">
        <v>16.583574632705812</v>
      </c>
      <c r="E63" s="2">
        <v>15.787789320622208</v>
      </c>
      <c r="F63" s="2">
        <v>15.899190981333325</v>
      </c>
      <c r="G63" s="2">
        <v>17.300775077563184</v>
      </c>
    </row>
    <row r="64" spans="1:7" x14ac:dyDescent="0.2">
      <c r="A64" s="25">
        <v>315</v>
      </c>
      <c r="B64" s="2">
        <v>16.674308150185695</v>
      </c>
      <c r="C64" s="2">
        <v>14.927437992523622</v>
      </c>
      <c r="D64" s="2">
        <v>17.008432040026921</v>
      </c>
      <c r="E64" s="2">
        <v>17.084954068261435</v>
      </c>
      <c r="F64" s="2">
        <v>17.154278939894873</v>
      </c>
      <c r="G64" s="2">
        <v>17.088483537281132</v>
      </c>
    </row>
    <row r="65" spans="1:7" x14ac:dyDescent="0.2">
      <c r="A65" s="25">
        <v>320</v>
      </c>
      <c r="B65" s="2">
        <v>16.256918119566425</v>
      </c>
      <c r="C65" s="2">
        <v>17.300406445857522</v>
      </c>
      <c r="D65" s="2">
        <v>17.302450281630168</v>
      </c>
      <c r="E65" s="2">
        <v>17.613084078563254</v>
      </c>
      <c r="F65" s="2">
        <v>17.319089071701036</v>
      </c>
      <c r="G65" s="2">
        <v>17.797582609044319</v>
      </c>
    </row>
    <row r="66" spans="1:7" x14ac:dyDescent="0.2">
      <c r="A66" s="25">
        <v>325</v>
      </c>
      <c r="B66" s="2">
        <v>5.2713638874072597</v>
      </c>
      <c r="C66" s="2">
        <v>16.243719713000825</v>
      </c>
      <c r="D66" s="2">
        <v>14.751169484881567</v>
      </c>
      <c r="E66" s="2">
        <v>14.871423449155026</v>
      </c>
      <c r="F66" s="2">
        <v>8.820180979658387</v>
      </c>
      <c r="G66" s="2">
        <v>9.6371722435014835</v>
      </c>
    </row>
    <row r="67" spans="1:7" x14ac:dyDescent="0.2">
      <c r="A67" s="25">
        <v>330</v>
      </c>
      <c r="B67" s="2">
        <v>13.787075290779731</v>
      </c>
      <c r="C67" s="2">
        <v>13.095612570949109</v>
      </c>
      <c r="D67" s="2">
        <v>11.785697055280695</v>
      </c>
      <c r="E67" s="2">
        <v>11.978378324821382</v>
      </c>
      <c r="F67" s="2">
        <v>13.472621579107447</v>
      </c>
      <c r="G67" s="2">
        <v>16.102475837444739</v>
      </c>
    </row>
    <row r="68" spans="1:7" x14ac:dyDescent="0.2">
      <c r="A68" s="25">
        <v>335</v>
      </c>
      <c r="B68" s="2">
        <v>13.94385416372835</v>
      </c>
      <c r="C68" s="2">
        <v>15.111012624158423</v>
      </c>
      <c r="D68" s="2">
        <v>7.7538428584834147</v>
      </c>
      <c r="E68" s="2">
        <v>14.751077244802543</v>
      </c>
      <c r="F68" s="2">
        <v>16.51435188082533</v>
      </c>
      <c r="G68" s="2">
        <v>14.322460455590013</v>
      </c>
    </row>
    <row r="69" spans="1:7" x14ac:dyDescent="0.2">
      <c r="A69" s="25">
        <v>340</v>
      </c>
      <c r="B69" s="2">
        <v>10.303013080098117</v>
      </c>
      <c r="C69" s="2">
        <v>12.832192915907767</v>
      </c>
      <c r="D69" s="2">
        <v>14.965922933282826</v>
      </c>
      <c r="E69" s="2">
        <v>9.5187923654583066</v>
      </c>
      <c r="F69" s="2">
        <v>8.3247702370482468</v>
      </c>
      <c r="G69" s="2">
        <v>10.09923900945031</v>
      </c>
    </row>
    <row r="70" spans="1:7" x14ac:dyDescent="0.2">
      <c r="A70" s="25">
        <v>345</v>
      </c>
      <c r="B70" s="2">
        <v>13.199586716919145</v>
      </c>
      <c r="C70" s="2">
        <v>15.843808159513589</v>
      </c>
      <c r="D70" s="2">
        <v>12.226518950327575</v>
      </c>
      <c r="E70" s="2">
        <v>15.782699330640847</v>
      </c>
      <c r="F70" s="2">
        <v>13.998550619714138</v>
      </c>
      <c r="G70" s="2">
        <v>12.379852494619842</v>
      </c>
    </row>
    <row r="71" spans="1:7" x14ac:dyDescent="0.2">
      <c r="A71" s="25">
        <v>350</v>
      </c>
      <c r="B71" s="2">
        <v>14.55180989428761</v>
      </c>
      <c r="C71" s="2">
        <v>14.614952262868545</v>
      </c>
      <c r="D71" s="2">
        <v>15.549845125879765</v>
      </c>
      <c r="E71" s="2">
        <v>14.775690940922937</v>
      </c>
      <c r="F71" s="2">
        <v>16.014593446449986</v>
      </c>
      <c r="G71" s="2">
        <v>15.838622527811969</v>
      </c>
    </row>
    <row r="72" spans="1:7" x14ac:dyDescent="0.2">
      <c r="A72" s="25">
        <v>355</v>
      </c>
      <c r="B72" s="2">
        <v>6.1866090691936879</v>
      </c>
      <c r="C72" s="2">
        <v>15.855971352508346</v>
      </c>
      <c r="D72" s="2">
        <v>15.366418563419067</v>
      </c>
      <c r="E72" s="2">
        <v>14.824167650049608</v>
      </c>
      <c r="F72" s="2">
        <v>16.067935882745882</v>
      </c>
      <c r="G72" s="2">
        <v>15.582081922132973</v>
      </c>
    </row>
    <row r="73" spans="1:7" x14ac:dyDescent="0.2">
      <c r="A73" s="25">
        <v>360</v>
      </c>
      <c r="B73" s="2">
        <v>15.933343513160894</v>
      </c>
      <c r="C73" s="2">
        <v>16.752001349747051</v>
      </c>
      <c r="D73" s="2">
        <v>16.485188755339721</v>
      </c>
      <c r="E73" s="2">
        <v>16.340777067897047</v>
      </c>
      <c r="F73" s="2">
        <v>14.586171622410301</v>
      </c>
      <c r="G73" s="2">
        <v>14.486053216918304</v>
      </c>
    </row>
    <row r="74" spans="1:7" x14ac:dyDescent="0.2">
      <c r="A74" s="25">
        <v>365</v>
      </c>
      <c r="B74" s="2">
        <v>16.154331240251988</v>
      </c>
      <c r="C74" s="2">
        <v>16.036423772399033</v>
      </c>
      <c r="D74" s="2">
        <v>15.878189299527918</v>
      </c>
      <c r="E74" s="2">
        <v>18.094159879231057</v>
      </c>
      <c r="F74" s="2">
        <v>17.35022933818049</v>
      </c>
      <c r="G74" s="2">
        <v>17.423262406542374</v>
      </c>
    </row>
    <row r="75" spans="1:7" x14ac:dyDescent="0.2">
      <c r="A75" s="25">
        <v>370</v>
      </c>
      <c r="B75" s="2">
        <v>16.286683271075901</v>
      </c>
      <c r="C75" s="2">
        <v>17.922995528289817</v>
      </c>
      <c r="D75" s="2">
        <v>17.255886101979627</v>
      </c>
      <c r="E75" s="2">
        <v>18.338286723802604</v>
      </c>
      <c r="F75" s="2">
        <v>17.753908448450016</v>
      </c>
      <c r="G75" s="2">
        <v>18.050938931521344</v>
      </c>
    </row>
    <row r="76" spans="1:7" x14ac:dyDescent="0.2">
      <c r="A76" s="25">
        <v>375</v>
      </c>
      <c r="B76" s="2">
        <v>14.814229316174904</v>
      </c>
      <c r="C76" s="2">
        <v>15.531430684773596</v>
      </c>
      <c r="D76" s="2">
        <v>16.300169108792044</v>
      </c>
      <c r="E76" s="2">
        <v>16.997114345304485</v>
      </c>
      <c r="F76" s="2">
        <v>16.721857012317372</v>
      </c>
      <c r="G76" s="2">
        <v>16.798235325357215</v>
      </c>
    </row>
    <row r="77" spans="1:7" x14ac:dyDescent="0.2">
      <c r="A77" s="25">
        <v>380</v>
      </c>
      <c r="B77" s="2">
        <v>15.314230712995682</v>
      </c>
      <c r="C77" s="2">
        <v>15.589994464197451</v>
      </c>
      <c r="D77" s="2">
        <v>17.347543041526571</v>
      </c>
      <c r="E77" s="2">
        <v>16.882259532685708</v>
      </c>
      <c r="F77" s="2">
        <v>16.945242403964809</v>
      </c>
      <c r="G77" s="2">
        <v>17.052601014461043</v>
      </c>
    </row>
    <row r="78" spans="1:7" x14ac:dyDescent="0.2">
      <c r="A78" s="25">
        <v>385</v>
      </c>
      <c r="B78" s="2">
        <v>16.909371102880375</v>
      </c>
      <c r="C78" s="2">
        <v>17.328847987172285</v>
      </c>
      <c r="D78" s="2">
        <v>17.993021746543327</v>
      </c>
      <c r="E78" s="2">
        <v>17.584030397757306</v>
      </c>
      <c r="F78" s="2">
        <v>18.240314830383554</v>
      </c>
      <c r="G78" s="2">
        <v>18.310082138442432</v>
      </c>
    </row>
    <row r="79" spans="1:7" x14ac:dyDescent="0.2">
      <c r="A79" s="25">
        <v>390</v>
      </c>
      <c r="B79" s="2">
        <v>15.544116508465802</v>
      </c>
      <c r="C79" s="2">
        <v>16.382500768918444</v>
      </c>
      <c r="D79" s="2">
        <v>16.573843694454876</v>
      </c>
      <c r="E79" s="2">
        <v>16.150891900305194</v>
      </c>
      <c r="F79" s="2">
        <v>17.682368636892459</v>
      </c>
      <c r="G79" s="2">
        <v>18.088525896612055</v>
      </c>
    </row>
    <row r="80" spans="1:7" x14ac:dyDescent="0.2">
      <c r="A80" s="25">
        <v>395</v>
      </c>
      <c r="B80" s="2">
        <v>14.404267203714422</v>
      </c>
      <c r="C80" s="2">
        <v>15.584638628318435</v>
      </c>
      <c r="D80" s="2">
        <v>13.96016135650974</v>
      </c>
      <c r="E80" s="2">
        <v>12.987405965056132</v>
      </c>
      <c r="F80" s="2">
        <v>13.744170478790966</v>
      </c>
      <c r="G80" s="2">
        <v>13.488188525975755</v>
      </c>
    </row>
    <row r="81" spans="1:7" x14ac:dyDescent="0.2">
      <c r="A81" s="25">
        <v>400</v>
      </c>
      <c r="B81" s="2">
        <v>15.671982865770481</v>
      </c>
      <c r="C81" s="2">
        <v>13.592036043236222</v>
      </c>
      <c r="D81" s="2">
        <v>16.109457192476416</v>
      </c>
      <c r="E81" s="2">
        <v>15.986411100687324</v>
      </c>
      <c r="F81" s="2">
        <v>17.050840994849363</v>
      </c>
      <c r="G81" s="2">
        <v>15.895232798789614</v>
      </c>
    </row>
    <row r="82" spans="1:7" x14ac:dyDescent="0.2">
      <c r="A82" s="25">
        <v>405</v>
      </c>
      <c r="B82" s="2">
        <v>10.811508604506933</v>
      </c>
      <c r="C82" s="2">
        <v>17.596158386794166</v>
      </c>
      <c r="D82" s="2">
        <v>17.977920897800512</v>
      </c>
      <c r="E82" s="2">
        <v>17.036645945185281</v>
      </c>
      <c r="F82" s="2">
        <v>17.972141909591141</v>
      </c>
      <c r="G82" s="2">
        <v>17.111650116657234</v>
      </c>
    </row>
    <row r="83" spans="1:7" x14ac:dyDescent="0.2">
      <c r="A83" s="25">
        <v>410</v>
      </c>
      <c r="B83" s="2">
        <v>15.072316637559533</v>
      </c>
      <c r="C83" s="2">
        <v>16.783403978254899</v>
      </c>
      <c r="D83" s="2">
        <v>16.800329106278877</v>
      </c>
      <c r="E83" s="2">
        <v>17.595095734934052</v>
      </c>
      <c r="F83" s="2">
        <v>17.710194389606531</v>
      </c>
      <c r="G83" s="2">
        <v>17.295543335417566</v>
      </c>
    </row>
    <row r="84" spans="1:7" x14ac:dyDescent="0.2">
      <c r="A84" s="25">
        <v>415</v>
      </c>
      <c r="B84" s="2">
        <v>14.667501204882621</v>
      </c>
      <c r="C84" s="2">
        <v>15.413944059038652</v>
      </c>
      <c r="D84" s="2">
        <v>15.554216068990822</v>
      </c>
      <c r="E84" s="2">
        <v>15.062239397669714</v>
      </c>
      <c r="F84" s="2">
        <v>17.263569418332079</v>
      </c>
      <c r="G84" s="2">
        <v>16.730491287758895</v>
      </c>
    </row>
    <row r="85" spans="1:7" x14ac:dyDescent="0.2">
      <c r="A85" s="25">
        <v>420</v>
      </c>
      <c r="B85" s="2">
        <v>15.362352048812706</v>
      </c>
      <c r="C85" s="2">
        <v>15.598029495936935</v>
      </c>
      <c r="D85" s="2">
        <v>17.1266389738486</v>
      </c>
      <c r="E85" s="2">
        <v>14.02367226039393</v>
      </c>
      <c r="F85" s="2">
        <v>15.866489771538898</v>
      </c>
      <c r="G85" s="2">
        <v>15.913870492476681</v>
      </c>
    </row>
    <row r="86" spans="1:7" x14ac:dyDescent="0.2">
      <c r="A86" s="25">
        <v>425</v>
      </c>
      <c r="B86" s="2">
        <v>12.854139622760563</v>
      </c>
      <c r="C86" s="2">
        <v>15.740433669474452</v>
      </c>
      <c r="D86" s="2">
        <v>15.315534934475066</v>
      </c>
      <c r="E86" s="2">
        <v>13.846975231645105</v>
      </c>
      <c r="F86" s="2">
        <v>15.53144058671735</v>
      </c>
      <c r="G86" s="2">
        <v>15.066621814271221</v>
      </c>
    </row>
    <row r="87" spans="1:7" x14ac:dyDescent="0.2">
      <c r="A87" s="25">
        <v>430</v>
      </c>
      <c r="B87" s="2">
        <v>14.254215234983938</v>
      </c>
      <c r="C87" s="2">
        <v>15.463913695844088</v>
      </c>
      <c r="D87" s="2">
        <v>16.076447561266992</v>
      </c>
      <c r="E87" s="2">
        <v>15.340761767036152</v>
      </c>
      <c r="F87" s="2">
        <v>15.600740341143755</v>
      </c>
      <c r="G87" s="2">
        <v>15.53976675390812</v>
      </c>
    </row>
    <row r="88" spans="1:7" x14ac:dyDescent="0.2">
      <c r="A88" s="25">
        <v>435</v>
      </c>
      <c r="B88" s="2">
        <v>16.095183226748695</v>
      </c>
      <c r="C88" s="2">
        <v>15.053693611221144</v>
      </c>
      <c r="D88" s="2">
        <v>15.295481529195024</v>
      </c>
      <c r="E88" s="2">
        <v>15.618902944363288</v>
      </c>
      <c r="F88" s="2">
        <v>16.082783952330075</v>
      </c>
      <c r="G88" s="2">
        <v>15.198756057567941</v>
      </c>
    </row>
    <row r="89" spans="1:7" x14ac:dyDescent="0.2">
      <c r="A89" s="25">
        <v>440</v>
      </c>
      <c r="B89" s="2">
        <v>15.295236991425842</v>
      </c>
      <c r="C89" s="2">
        <v>13.421701600644324</v>
      </c>
      <c r="D89" s="2">
        <v>13.683760726258555</v>
      </c>
      <c r="E89" s="2">
        <v>13.334492244228532</v>
      </c>
      <c r="F89" s="2">
        <v>11.623973079255508</v>
      </c>
      <c r="G89" s="2">
        <v>12.617296328618631</v>
      </c>
    </row>
    <row r="90" spans="1:7" x14ac:dyDescent="0.2">
      <c r="A90" s="25">
        <v>445</v>
      </c>
      <c r="B90" s="2">
        <v>15.221238175561689</v>
      </c>
      <c r="C90" s="2">
        <v>16.965756563322593</v>
      </c>
      <c r="D90" s="2">
        <v>7.7819745265504734</v>
      </c>
      <c r="E90" s="2">
        <v>16.029566018160267</v>
      </c>
      <c r="F90" s="2">
        <v>17.072938841044742</v>
      </c>
      <c r="G90" s="2">
        <v>17.657052016816888</v>
      </c>
    </row>
    <row r="91" spans="1:7" x14ac:dyDescent="0.2">
      <c r="A91" s="25">
        <v>450</v>
      </c>
      <c r="B91" s="2">
        <v>12.5859968699693</v>
      </c>
      <c r="C91" s="2">
        <v>16.260274498973182</v>
      </c>
      <c r="D91" s="2">
        <v>15.786550645153529</v>
      </c>
      <c r="E91" s="2">
        <v>18.669814296331698</v>
      </c>
      <c r="F91" s="2">
        <v>17.389389403667899</v>
      </c>
      <c r="G91" s="2">
        <v>15.338458476430961</v>
      </c>
    </row>
    <row r="92" spans="1:7" x14ac:dyDescent="0.2">
      <c r="A92" s="25">
        <v>455</v>
      </c>
      <c r="B92" s="2">
        <v>10.237551391398997</v>
      </c>
      <c r="C92" s="2">
        <v>15.371627194571076</v>
      </c>
      <c r="D92" s="2">
        <v>15.838472670919673</v>
      </c>
      <c r="E92" s="2">
        <v>12.981936481556058</v>
      </c>
      <c r="F92" s="2">
        <v>9.0157787556524855</v>
      </c>
      <c r="G92" s="2">
        <v>6.9424935909210044</v>
      </c>
    </row>
    <row r="93" spans="1:7" x14ac:dyDescent="0.2">
      <c r="A93" s="25">
        <v>460</v>
      </c>
      <c r="B93" s="2">
        <v>15.747944493411998</v>
      </c>
      <c r="C93" s="2">
        <v>15.947430965433751</v>
      </c>
      <c r="D93" s="2">
        <v>13.557866116395004</v>
      </c>
      <c r="E93" s="2">
        <v>16.039756069281491</v>
      </c>
      <c r="F93" s="2">
        <v>17.451870071015303</v>
      </c>
      <c r="G93" s="2">
        <v>17.081151623807465</v>
      </c>
    </row>
    <row r="94" spans="1:7" x14ac:dyDescent="0.2">
      <c r="A94" s="25">
        <v>465</v>
      </c>
      <c r="B94" s="2">
        <v>14.645492677669175</v>
      </c>
      <c r="C94" s="2">
        <v>14.963541879657285</v>
      </c>
      <c r="D94" s="2">
        <v>14.915818738626337</v>
      </c>
      <c r="E94" s="2">
        <v>13.732731812869007</v>
      </c>
      <c r="F94" s="2">
        <v>14.577650670065525</v>
      </c>
      <c r="G94" s="2">
        <v>15.086902208448814</v>
      </c>
    </row>
    <row r="95" spans="1:7" x14ac:dyDescent="0.2">
      <c r="A95" s="25">
        <v>470</v>
      </c>
      <c r="B95" s="2">
        <v>14.653177691971241</v>
      </c>
      <c r="C95" s="2">
        <v>8.287512314472739</v>
      </c>
      <c r="D95" s="2">
        <v>16.113046782976358</v>
      </c>
      <c r="E95" s="2">
        <v>14.600941606306417</v>
      </c>
      <c r="F95" s="2">
        <v>12.594069425850396</v>
      </c>
      <c r="G95" s="2">
        <v>14.209095142269925</v>
      </c>
    </row>
    <row r="96" spans="1:7" x14ac:dyDescent="0.2">
      <c r="A96" s="25">
        <v>475</v>
      </c>
      <c r="B96" s="2">
        <v>15.355044716516696</v>
      </c>
      <c r="C96" s="2">
        <v>16.065590511853454</v>
      </c>
      <c r="D96" s="2">
        <v>16.742676538955891</v>
      </c>
      <c r="E96" s="2">
        <v>16.611324359057484</v>
      </c>
      <c r="F96" s="2">
        <v>16.849421190433084</v>
      </c>
      <c r="G96" s="2">
        <v>16.664586731482046</v>
      </c>
    </row>
    <row r="97" spans="1:7" x14ac:dyDescent="0.2">
      <c r="A97" s="25">
        <v>480</v>
      </c>
      <c r="B97" s="2">
        <v>16.292369765106198</v>
      </c>
      <c r="C97" s="2">
        <v>15.508574931401922</v>
      </c>
      <c r="D97" s="2">
        <v>17.02320535093132</v>
      </c>
      <c r="E97" s="2">
        <v>16.563832062233725</v>
      </c>
      <c r="F97" s="2">
        <v>17.442703530922579</v>
      </c>
      <c r="G97" s="2">
        <v>15.799275894222653</v>
      </c>
    </row>
    <row r="98" spans="1:7" x14ac:dyDescent="0.2">
      <c r="A98" s="25">
        <v>485</v>
      </c>
      <c r="B98" s="2">
        <v>15.237033467012248</v>
      </c>
      <c r="C98" s="2">
        <v>15.361215532247988</v>
      </c>
      <c r="D98" s="2">
        <v>17.622670577978102</v>
      </c>
      <c r="E98" s="2">
        <v>5.9189016464197506</v>
      </c>
      <c r="F98" s="2">
        <v>8.819999298960159</v>
      </c>
      <c r="G98" s="2">
        <v>6.0857980234994837</v>
      </c>
    </row>
    <row r="99" spans="1:7" x14ac:dyDescent="0.2">
      <c r="A99" s="25">
        <v>490</v>
      </c>
      <c r="B99" s="2">
        <v>15.54558195508266</v>
      </c>
      <c r="C99" s="2">
        <v>14.809852917040052</v>
      </c>
      <c r="D99" s="2">
        <v>16.570708242498473</v>
      </c>
      <c r="E99" s="2">
        <v>16.913834361461578</v>
      </c>
      <c r="F99" s="2">
        <v>17.051929427717468</v>
      </c>
      <c r="G99" s="2">
        <v>17.161621270960577</v>
      </c>
    </row>
    <row r="100" spans="1:7" x14ac:dyDescent="0.2">
      <c r="A100" s="25">
        <v>495</v>
      </c>
      <c r="B100" s="2">
        <v>15.369624049702146</v>
      </c>
      <c r="C100" s="2">
        <v>15.196851892406967</v>
      </c>
      <c r="D100" s="2">
        <v>14.214158540188651</v>
      </c>
      <c r="E100" s="2">
        <v>15.01468264742552</v>
      </c>
      <c r="F100" s="2">
        <v>15.336300002307237</v>
      </c>
      <c r="G100" s="2">
        <v>16.312359613718414</v>
      </c>
    </row>
    <row r="101" spans="1:7" x14ac:dyDescent="0.2">
      <c r="A101" s="25">
        <v>500</v>
      </c>
      <c r="B101" s="2">
        <v>16.041757666062075</v>
      </c>
      <c r="C101" s="2">
        <v>15.972584515179204</v>
      </c>
      <c r="D101" s="2">
        <v>16.984282156993196</v>
      </c>
      <c r="E101" s="2">
        <v>16.195936279135388</v>
      </c>
      <c r="F101" s="2">
        <v>16.154087841830755</v>
      </c>
      <c r="G101" s="2">
        <v>16.5824480094869</v>
      </c>
    </row>
    <row r="102" spans="1:7" x14ac:dyDescent="0.2">
      <c r="A102" s="25">
        <v>510</v>
      </c>
      <c r="B102" s="2">
        <v>15.060416639880579</v>
      </c>
      <c r="C102" s="2">
        <v>15.45833765541756</v>
      </c>
      <c r="D102" s="2">
        <v>13.762588943882854</v>
      </c>
      <c r="E102" s="2">
        <v>15.862525146748082</v>
      </c>
      <c r="F102" s="2">
        <v>15.327436219237395</v>
      </c>
      <c r="G102" s="2">
        <v>16.395851015897975</v>
      </c>
    </row>
    <row r="103" spans="1:7" x14ac:dyDescent="0.2">
      <c r="A103" s="25">
        <v>520</v>
      </c>
      <c r="B103" s="2">
        <v>15.375690872648537</v>
      </c>
      <c r="C103" s="2">
        <v>15.908060849637586</v>
      </c>
      <c r="D103" s="2">
        <v>15.001046083600615</v>
      </c>
      <c r="E103" s="2">
        <v>16.18959015294627</v>
      </c>
      <c r="F103" s="2">
        <v>15.914878942829077</v>
      </c>
      <c r="G103" s="2">
        <v>14.86915027584989</v>
      </c>
    </row>
    <row r="104" spans="1:7" x14ac:dyDescent="0.2">
      <c r="A104" s="25">
        <v>530</v>
      </c>
      <c r="B104" s="2">
        <v>15.111316147552808</v>
      </c>
      <c r="C104" s="2">
        <v>15.913779292235004</v>
      </c>
      <c r="D104" s="2">
        <v>16.573562164100931</v>
      </c>
      <c r="E104" s="2">
        <v>16.488199673421516</v>
      </c>
      <c r="F104" s="2">
        <v>17.189791568254346</v>
      </c>
      <c r="G104" s="2">
        <v>17.464908819499058</v>
      </c>
    </row>
    <row r="105" spans="1:7" x14ac:dyDescent="0.2">
      <c r="A105" s="25">
        <v>540</v>
      </c>
      <c r="B105" s="2">
        <v>9.6560066957854378</v>
      </c>
      <c r="C105" s="2">
        <v>14.978140086461678</v>
      </c>
      <c r="D105" s="2">
        <v>15.640164108618514</v>
      </c>
      <c r="E105" s="2">
        <v>14.574985538886251</v>
      </c>
      <c r="F105" s="2">
        <v>14.354439699292913</v>
      </c>
      <c r="G105" s="2">
        <v>15.880004908319629</v>
      </c>
    </row>
    <row r="106" spans="1:7" x14ac:dyDescent="0.2">
      <c r="A106" s="25">
        <v>550</v>
      </c>
      <c r="B106" s="2">
        <v>14.285723830996504</v>
      </c>
      <c r="C106" s="2">
        <v>14.964656935123834</v>
      </c>
      <c r="D106" s="2">
        <v>14.050749001466523</v>
      </c>
      <c r="E106" s="2">
        <v>11.914617340884657</v>
      </c>
      <c r="F106" s="2">
        <v>11.695636503733841</v>
      </c>
      <c r="G106" s="2">
        <v>11.414648246135297</v>
      </c>
    </row>
    <row r="107" spans="1:7" x14ac:dyDescent="0.2">
      <c r="A107" s="25">
        <v>560</v>
      </c>
      <c r="B107" s="2">
        <v>11.299409519850466</v>
      </c>
      <c r="C107" s="2">
        <v>13.442556143638054</v>
      </c>
      <c r="D107" s="2">
        <v>15.397014166729862</v>
      </c>
      <c r="E107" s="2">
        <v>8.8306357715748707</v>
      </c>
      <c r="F107" s="2">
        <v>9.1204021459634266</v>
      </c>
      <c r="G107" s="2">
        <v>14.983195272315472</v>
      </c>
    </row>
    <row r="108" spans="1:7" x14ac:dyDescent="0.2">
      <c r="A108" s="25">
        <v>570</v>
      </c>
      <c r="B108" s="2">
        <v>12.565253112248724</v>
      </c>
      <c r="C108" s="2">
        <v>13.462683925830181</v>
      </c>
      <c r="D108" s="2">
        <v>14.99390335478259</v>
      </c>
      <c r="E108" s="2">
        <v>13.022574471125331</v>
      </c>
      <c r="F108" s="2">
        <v>12.291899227868905</v>
      </c>
      <c r="G108" s="2">
        <v>13.251005978891852</v>
      </c>
    </row>
    <row r="109" spans="1:7" x14ac:dyDescent="0.2">
      <c r="A109" s="25">
        <v>580</v>
      </c>
      <c r="B109" s="2">
        <v>14.47265442514146</v>
      </c>
      <c r="C109" s="2">
        <v>11.493093656143165</v>
      </c>
      <c r="D109" s="2">
        <v>15.110001773282193</v>
      </c>
      <c r="E109" s="2">
        <v>13.283831975035126</v>
      </c>
      <c r="F109" s="2">
        <v>14.740101795717985</v>
      </c>
      <c r="G109" s="2">
        <v>12.252280146170758</v>
      </c>
    </row>
    <row r="110" spans="1:7" x14ac:dyDescent="0.2">
      <c r="A110" s="25">
        <v>590</v>
      </c>
      <c r="B110" s="2">
        <v>14.532260176222604</v>
      </c>
      <c r="C110" s="2">
        <v>9.1217716443212602</v>
      </c>
      <c r="D110" s="2">
        <v>10.934313284263292</v>
      </c>
      <c r="E110" s="2">
        <v>10.228091826515106</v>
      </c>
      <c r="F110" s="2">
        <v>11.846642460206203</v>
      </c>
      <c r="G110" s="2">
        <v>11.835478472432047</v>
      </c>
    </row>
    <row r="111" spans="1:7" x14ac:dyDescent="0.2">
      <c r="A111" s="25">
        <v>600</v>
      </c>
      <c r="B111" s="2">
        <v>14.215319193979346</v>
      </c>
      <c r="C111" s="2">
        <v>15.525006840718799</v>
      </c>
      <c r="D111" s="2">
        <v>12.788287880404209</v>
      </c>
      <c r="E111" s="2">
        <v>14.838054572036972</v>
      </c>
      <c r="F111" s="2">
        <v>14.797988241151543</v>
      </c>
      <c r="G111" s="2">
        <v>14.513898196073079</v>
      </c>
    </row>
    <row r="112" spans="1:7" x14ac:dyDescent="0.2">
      <c r="A112" s="25">
        <v>610</v>
      </c>
      <c r="B112" s="2">
        <v>11.72010103185467</v>
      </c>
      <c r="C112" s="2">
        <v>14.083567158583078</v>
      </c>
      <c r="D112" s="2">
        <v>13.706622596144367</v>
      </c>
      <c r="E112" s="2">
        <v>14.299345128034274</v>
      </c>
      <c r="F112" s="2">
        <v>13.428165089706535</v>
      </c>
      <c r="G112" s="2">
        <v>14.041737538705934</v>
      </c>
    </row>
    <row r="113" spans="1:7" x14ac:dyDescent="0.2">
      <c r="A113" s="25">
        <v>620</v>
      </c>
      <c r="B113" s="2">
        <v>11.148839375205631</v>
      </c>
      <c r="C113" s="2">
        <v>11.104329041398175</v>
      </c>
      <c r="D113" s="2">
        <v>12.077997653882989</v>
      </c>
      <c r="E113" s="2">
        <v>12.352252064572097</v>
      </c>
      <c r="F113" s="2">
        <v>13.778905273086693</v>
      </c>
      <c r="G113" s="2">
        <v>13.760617948290218</v>
      </c>
    </row>
    <row r="114" spans="1:7" x14ac:dyDescent="0.2">
      <c r="A114" s="25">
        <v>630</v>
      </c>
      <c r="B114" s="2">
        <v>15.256295770476155</v>
      </c>
      <c r="C114" s="2">
        <v>15.545623428455928</v>
      </c>
      <c r="D114" s="2">
        <v>16.051654651458829</v>
      </c>
      <c r="E114" s="2">
        <v>16.057082631349555</v>
      </c>
      <c r="F114" s="2">
        <v>15.747312942238555</v>
      </c>
      <c r="G114" s="2">
        <v>16.13073914317669</v>
      </c>
    </row>
    <row r="115" spans="1:7" x14ac:dyDescent="0.2">
      <c r="A115" s="25">
        <v>640</v>
      </c>
      <c r="B115" s="2">
        <v>15.014793713050421</v>
      </c>
      <c r="C115" s="2">
        <v>14.876342750185469</v>
      </c>
      <c r="D115" s="2">
        <v>14.80687419643618</v>
      </c>
      <c r="E115" s="2">
        <v>15.758916130567668</v>
      </c>
      <c r="F115" s="2">
        <v>15.607101875776706</v>
      </c>
      <c r="G115" s="2">
        <v>15.16230236167954</v>
      </c>
    </row>
    <row r="116" spans="1:7" x14ac:dyDescent="0.2">
      <c r="A116" s="25">
        <v>650</v>
      </c>
      <c r="B116" s="2">
        <v>13.709599369174224</v>
      </c>
      <c r="C116" s="2">
        <v>11.083314927321887</v>
      </c>
      <c r="D116" s="2">
        <v>13.144878058747858</v>
      </c>
      <c r="E116" s="2">
        <v>13.514103571898371</v>
      </c>
      <c r="F116" s="2">
        <v>14.480787333496952</v>
      </c>
      <c r="G116" s="2">
        <v>13.114565405163093</v>
      </c>
    </row>
    <row r="117" spans="1:7" x14ac:dyDescent="0.2">
      <c r="A117" s="25">
        <v>660</v>
      </c>
      <c r="B117" s="2">
        <v>12.54485377684896</v>
      </c>
      <c r="C117" s="2">
        <v>13.594413406673148</v>
      </c>
      <c r="D117" s="2">
        <v>12.106581647739503</v>
      </c>
      <c r="E117" s="2">
        <v>8.6981286145192307</v>
      </c>
      <c r="F117" s="2">
        <v>8.6451052502756234</v>
      </c>
      <c r="G117" s="2">
        <v>10.460548715212049</v>
      </c>
    </row>
    <row r="118" spans="1:7" x14ac:dyDescent="0.2">
      <c r="A118" s="25">
        <v>670</v>
      </c>
      <c r="B118" s="2">
        <v>12.769373422855402</v>
      </c>
      <c r="C118" s="2">
        <v>11.983333392317144</v>
      </c>
      <c r="D118" s="2">
        <v>7.9844056316764513</v>
      </c>
      <c r="E118" s="2">
        <v>10.570529265782451</v>
      </c>
      <c r="F118" s="2">
        <v>10.470268402415456</v>
      </c>
      <c r="G118" s="2">
        <v>10.204858177753197</v>
      </c>
    </row>
    <row r="119" spans="1:7" x14ac:dyDescent="0.2">
      <c r="A119" s="25">
        <v>680</v>
      </c>
      <c r="B119" s="2">
        <v>11.980708934167996</v>
      </c>
      <c r="C119" s="2">
        <v>7.1017865265260145</v>
      </c>
      <c r="D119" s="2">
        <v>10.097215470831875</v>
      </c>
      <c r="E119" s="2">
        <v>10.431671858913772</v>
      </c>
      <c r="F119" s="2">
        <v>8.4765693145660261</v>
      </c>
      <c r="G119" s="2">
        <v>7.5154597056719945</v>
      </c>
    </row>
    <row r="120" spans="1:7" x14ac:dyDescent="0.2">
      <c r="A120" s="25">
        <v>690</v>
      </c>
      <c r="B120" s="2">
        <v>13.14226865420132</v>
      </c>
      <c r="C120" s="2">
        <v>15.082006733442022</v>
      </c>
      <c r="D120" s="2">
        <v>15.568546725477201</v>
      </c>
      <c r="E120" s="2">
        <v>11.988524807729796</v>
      </c>
      <c r="F120" s="2">
        <v>12.486233377605744</v>
      </c>
      <c r="G120" s="2">
        <v>15.759595490975466</v>
      </c>
    </row>
    <row r="121" spans="1:7" x14ac:dyDescent="0.2">
      <c r="A121" s="25">
        <v>700</v>
      </c>
      <c r="B121" s="2">
        <v>12.726854036079782</v>
      </c>
      <c r="C121" s="2">
        <v>13.135652539853018</v>
      </c>
      <c r="D121" s="2">
        <v>14.106437046634472</v>
      </c>
      <c r="E121" s="2">
        <v>13.247857872273684</v>
      </c>
      <c r="F121" s="2">
        <v>13.423398603128584</v>
      </c>
      <c r="G121" s="2">
        <v>13.277219520055255</v>
      </c>
    </row>
    <row r="122" spans="1:7" x14ac:dyDescent="0.2">
      <c r="A122" s="25">
        <v>710</v>
      </c>
      <c r="B122" s="2">
        <v>8.350615918767037</v>
      </c>
      <c r="C122" s="2">
        <v>12.661006893348722</v>
      </c>
      <c r="D122" s="2">
        <v>12.674958593084472</v>
      </c>
      <c r="E122" s="2">
        <v>9.8503492077014556</v>
      </c>
      <c r="F122" s="2">
        <v>11.077183591399399</v>
      </c>
      <c r="G122" s="2">
        <v>12.258313595485189</v>
      </c>
    </row>
    <row r="123" spans="1:7" x14ac:dyDescent="0.2">
      <c r="A123" s="25">
        <v>720</v>
      </c>
      <c r="B123" s="2">
        <v>11.485704321051848</v>
      </c>
      <c r="C123" s="2">
        <v>10.78531633854365</v>
      </c>
      <c r="D123" s="2">
        <v>12.290318606346917</v>
      </c>
      <c r="E123" s="2">
        <v>9.3822266848620153</v>
      </c>
      <c r="F123" s="2">
        <v>9.3826582360565496</v>
      </c>
      <c r="G123" s="2">
        <v>9.3303950883427813</v>
      </c>
    </row>
    <row r="124" spans="1:7" x14ac:dyDescent="0.2">
      <c r="A124" s="25">
        <v>730</v>
      </c>
      <c r="B124" s="2">
        <v>12.526059752383675</v>
      </c>
      <c r="C124" s="2">
        <v>13.627343443703248</v>
      </c>
      <c r="D124" s="2">
        <v>14.100932177748273</v>
      </c>
      <c r="E124" s="2">
        <v>14.208089263645448</v>
      </c>
      <c r="F124" s="2">
        <v>15.108005667785736</v>
      </c>
      <c r="G124" s="2">
        <v>14.283645537090935</v>
      </c>
    </row>
    <row r="125" spans="1:7" x14ac:dyDescent="0.2">
      <c r="A125" s="25">
        <v>740</v>
      </c>
      <c r="B125" s="2">
        <v>12.165185823743698</v>
      </c>
      <c r="C125" s="2">
        <v>9.4611193291788087</v>
      </c>
      <c r="D125" s="2">
        <v>12.413662739228595</v>
      </c>
      <c r="E125" s="2">
        <v>11.994437710151653</v>
      </c>
      <c r="F125" s="2">
        <v>11.887246002092853</v>
      </c>
      <c r="G125" s="2">
        <v>13.630918313564578</v>
      </c>
    </row>
    <row r="126" spans="1:7" x14ac:dyDescent="0.2">
      <c r="A126" s="25">
        <v>750</v>
      </c>
      <c r="B126" s="2">
        <v>11.04223869892005</v>
      </c>
      <c r="C126" s="2">
        <v>11.604463924552642</v>
      </c>
      <c r="D126" s="2">
        <v>12.946669822549055</v>
      </c>
      <c r="E126" s="2">
        <v>11.533136707827554</v>
      </c>
      <c r="F126" s="2">
        <v>12.125051440215707</v>
      </c>
      <c r="G126" s="2">
        <v>11.503500239095677</v>
      </c>
    </row>
    <row r="127" spans="1:7" x14ac:dyDescent="0.2">
      <c r="A127" s="25">
        <v>760</v>
      </c>
      <c r="B127" s="2">
        <v>14.718761698125769</v>
      </c>
      <c r="C127" s="2">
        <v>9.9373203247026254</v>
      </c>
      <c r="D127" s="2">
        <v>11.151344923538893</v>
      </c>
      <c r="E127" s="2">
        <v>16.297919214801809</v>
      </c>
      <c r="F127" s="2">
        <v>16.542517040822755</v>
      </c>
      <c r="G127" s="2">
        <v>10.711508317458911</v>
      </c>
    </row>
    <row r="128" spans="1:7" x14ac:dyDescent="0.2">
      <c r="A128" s="25">
        <v>770</v>
      </c>
      <c r="B128" s="2">
        <v>15.149340910703664</v>
      </c>
      <c r="C128" s="2">
        <v>16.535212800397556</v>
      </c>
      <c r="D128" s="2">
        <v>17.478258817370701</v>
      </c>
      <c r="E128" s="2">
        <v>15.190534369665956</v>
      </c>
      <c r="F128" s="2">
        <v>16.039807035571691</v>
      </c>
      <c r="G128" s="2">
        <v>15.328988483208621</v>
      </c>
    </row>
    <row r="129" spans="1:7" x14ac:dyDescent="0.2">
      <c r="A129" s="25">
        <v>780</v>
      </c>
      <c r="B129" s="2">
        <v>14.782959908384697</v>
      </c>
      <c r="C129" s="2">
        <v>12.019860392192026</v>
      </c>
      <c r="D129" s="2">
        <v>14.669635875771025</v>
      </c>
      <c r="E129" s="2">
        <v>14.816273802295287</v>
      </c>
      <c r="F129" s="2">
        <v>16.256006885397166</v>
      </c>
      <c r="G129" s="2">
        <v>16.214564760525445</v>
      </c>
    </row>
    <row r="130" spans="1:7" x14ac:dyDescent="0.2">
      <c r="A130" s="25">
        <v>790</v>
      </c>
      <c r="B130" s="2">
        <v>13.663688168302741</v>
      </c>
      <c r="C130" s="2">
        <v>13.818244358293864</v>
      </c>
      <c r="D130" s="2">
        <v>13.601140911853285</v>
      </c>
      <c r="E130" s="2">
        <v>15.20855173755317</v>
      </c>
      <c r="F130" s="2">
        <v>7.2409693062341809</v>
      </c>
      <c r="G130" s="2">
        <v>5.448883653583156</v>
      </c>
    </row>
    <row r="131" spans="1:7" x14ac:dyDescent="0.2">
      <c r="A131" s="25">
        <v>800</v>
      </c>
      <c r="B131" s="2">
        <v>11.78090818267942</v>
      </c>
      <c r="C131" s="2">
        <v>14.184454722404588</v>
      </c>
      <c r="D131" s="2">
        <v>15.348842985252254</v>
      </c>
      <c r="E131" s="2">
        <v>14.637879344223377</v>
      </c>
      <c r="F131" s="2">
        <v>15.88511472173313</v>
      </c>
      <c r="G131" s="2">
        <v>14.80874674555929</v>
      </c>
    </row>
    <row r="132" spans="1:7" x14ac:dyDescent="0.2">
      <c r="A132" s="25">
        <v>810</v>
      </c>
      <c r="B132" s="2">
        <v>12.828942289199158</v>
      </c>
      <c r="C132" s="2">
        <v>11.174557905844832</v>
      </c>
      <c r="D132" s="2">
        <v>12.681395861103038</v>
      </c>
      <c r="E132" s="2">
        <v>12.332657516279339</v>
      </c>
      <c r="F132" s="2">
        <v>12.488297346720062</v>
      </c>
      <c r="G132" s="2">
        <v>14.375327741777443</v>
      </c>
    </row>
    <row r="133" spans="1:7" x14ac:dyDescent="0.2">
      <c r="A133" s="25">
        <v>820</v>
      </c>
      <c r="B133" s="2">
        <v>14.574602075039319</v>
      </c>
      <c r="C133" s="2">
        <v>16.322617308142441</v>
      </c>
      <c r="D133" s="2">
        <v>12.033734932930964</v>
      </c>
      <c r="E133" s="2">
        <v>14.509713867622601</v>
      </c>
      <c r="F133" s="2">
        <v>15.996130297773758</v>
      </c>
      <c r="G133" s="2">
        <v>15.622012724915066</v>
      </c>
    </row>
    <row r="134" spans="1:7" x14ac:dyDescent="0.2">
      <c r="A134" s="25">
        <v>830</v>
      </c>
      <c r="B134" s="2">
        <v>13.158943601877768</v>
      </c>
      <c r="C134" s="2">
        <v>14.695175152138196</v>
      </c>
      <c r="D134" s="2">
        <v>13.233917120723392</v>
      </c>
      <c r="E134" s="2">
        <v>12.107779530640697</v>
      </c>
      <c r="F134" s="2">
        <v>10.742613697897538</v>
      </c>
      <c r="G134" s="2">
        <v>11.21601658739373</v>
      </c>
    </row>
    <row r="135" spans="1:7" x14ac:dyDescent="0.2">
      <c r="A135" s="25">
        <v>840</v>
      </c>
      <c r="B135" s="2">
        <v>15.132862783311559</v>
      </c>
      <c r="C135" s="2">
        <v>15.76514809988949</v>
      </c>
      <c r="D135" s="2">
        <v>15.097822232209079</v>
      </c>
      <c r="E135" s="2">
        <v>13.550635488157024</v>
      </c>
      <c r="F135" s="2">
        <v>12.322331038151887</v>
      </c>
      <c r="G135" s="2">
        <v>13.547148561056229</v>
      </c>
    </row>
    <row r="136" spans="1:7" x14ac:dyDescent="0.2">
      <c r="A136" s="25">
        <v>850</v>
      </c>
      <c r="B136" s="2">
        <v>9.757413762479846</v>
      </c>
      <c r="C136" s="2">
        <v>16.531253052585424</v>
      </c>
      <c r="D136" s="2">
        <v>13.020463910841816</v>
      </c>
      <c r="E136" s="2">
        <v>13.347308178352044</v>
      </c>
      <c r="F136" s="2">
        <v>14.507350764353415</v>
      </c>
      <c r="G136" s="2">
        <v>17.349197857085468</v>
      </c>
    </row>
    <row r="137" spans="1:7" x14ac:dyDescent="0.2">
      <c r="A137" s="25">
        <v>860</v>
      </c>
      <c r="B137" s="2">
        <v>12.191733000507023</v>
      </c>
      <c r="C137" s="2">
        <v>16.750719628125488</v>
      </c>
      <c r="D137" s="2">
        <v>15.3983307933366</v>
      </c>
      <c r="E137" s="2">
        <v>8.4187683320221574</v>
      </c>
      <c r="F137" s="2">
        <v>13.748484198691317</v>
      </c>
      <c r="G137" s="2">
        <v>7.4797707155018305</v>
      </c>
    </row>
    <row r="138" spans="1:7" x14ac:dyDescent="0.2">
      <c r="A138" s="25">
        <v>870</v>
      </c>
      <c r="B138" s="2">
        <v>14.116690413391378</v>
      </c>
      <c r="C138" s="2">
        <v>12.438389201479081</v>
      </c>
      <c r="D138" s="2">
        <v>10.842407917283127</v>
      </c>
      <c r="E138" s="2">
        <v>9.1148883446319644</v>
      </c>
      <c r="F138" s="2">
        <v>7.2184587548614774</v>
      </c>
      <c r="G138" s="2">
        <v>11.664029335370058</v>
      </c>
    </row>
    <row r="139" spans="1:7" x14ac:dyDescent="0.2">
      <c r="A139" s="25">
        <v>880</v>
      </c>
      <c r="B139" s="2">
        <v>10.785333316679298</v>
      </c>
      <c r="C139" s="2">
        <v>10.035967945676264</v>
      </c>
      <c r="D139" s="2">
        <v>7.6592294635570592</v>
      </c>
      <c r="E139" s="2">
        <v>7.8247044819805955</v>
      </c>
      <c r="F139" s="2">
        <v>12.882948106592142</v>
      </c>
      <c r="G139" s="2">
        <v>12.554950603049969</v>
      </c>
    </row>
    <row r="140" spans="1:7" x14ac:dyDescent="0.2">
      <c r="A140" s="25">
        <v>890</v>
      </c>
      <c r="B140" s="2">
        <v>15.525111680570605</v>
      </c>
      <c r="C140" s="2">
        <v>16.111992955324563</v>
      </c>
      <c r="D140" s="2">
        <v>17.317824048419673</v>
      </c>
      <c r="E140" s="2">
        <v>16.141535803306834</v>
      </c>
      <c r="F140" s="2">
        <v>17.595789671845051</v>
      </c>
      <c r="G140" s="2">
        <v>15.115750703752525</v>
      </c>
    </row>
    <row r="141" spans="1:7" x14ac:dyDescent="0.2">
      <c r="A141" s="25">
        <v>900</v>
      </c>
      <c r="B141" s="2">
        <v>13.200958969937837</v>
      </c>
      <c r="C141" s="2">
        <v>14.567041862888198</v>
      </c>
      <c r="D141" s="2">
        <v>15.821490725111722</v>
      </c>
      <c r="E141" s="2">
        <v>16.575282724254617</v>
      </c>
      <c r="F141" s="2">
        <v>15.449987706037748</v>
      </c>
      <c r="G141" s="2">
        <v>15.745708290216966</v>
      </c>
    </row>
    <row r="142" spans="1:7" x14ac:dyDescent="0.2">
      <c r="A142" s="25">
        <v>910</v>
      </c>
      <c r="B142" s="2">
        <v>12.08203396483038</v>
      </c>
      <c r="C142" s="2">
        <v>12.532450340233801</v>
      </c>
      <c r="D142" s="2">
        <v>10.538991166358725</v>
      </c>
      <c r="E142" s="2">
        <v>9.3945871859974908</v>
      </c>
      <c r="F142" s="2">
        <v>6.8117422389938493</v>
      </c>
      <c r="G142" s="2">
        <v>9.4009021620757593</v>
      </c>
    </row>
    <row r="143" spans="1:7" x14ac:dyDescent="0.2">
      <c r="A143" s="25">
        <v>920</v>
      </c>
      <c r="B143" s="2">
        <v>10.7804365347118</v>
      </c>
      <c r="C143" s="2">
        <v>17.549851510708784</v>
      </c>
      <c r="D143" s="2">
        <v>11.068988413451921</v>
      </c>
      <c r="E143" s="2">
        <v>15.5343278340893</v>
      </c>
      <c r="F143" s="2">
        <v>13.080445904557944</v>
      </c>
      <c r="G143" s="2">
        <v>13.675796772007907</v>
      </c>
    </row>
    <row r="144" spans="1:7" x14ac:dyDescent="0.2">
      <c r="A144" s="25">
        <v>930</v>
      </c>
      <c r="B144" s="2">
        <v>13.527051211501849</v>
      </c>
      <c r="C144" s="2">
        <v>14.109853259223014</v>
      </c>
      <c r="D144" s="2">
        <v>14.678609762181033</v>
      </c>
      <c r="E144" s="2">
        <v>15.630661742121337</v>
      </c>
      <c r="F144" s="2">
        <v>8.370423663531124</v>
      </c>
      <c r="G144" s="2">
        <v>8.3269173241006555</v>
      </c>
    </row>
    <row r="145" spans="1:7" x14ac:dyDescent="0.2">
      <c r="A145" s="25">
        <v>940</v>
      </c>
      <c r="B145" s="2">
        <v>6.3606744711260319</v>
      </c>
      <c r="C145" s="2">
        <v>12.799639103405724</v>
      </c>
      <c r="D145" s="2">
        <v>7.7024856419059944</v>
      </c>
      <c r="E145" s="2">
        <v>6.542222290978815</v>
      </c>
      <c r="F145" s="2">
        <v>9.1081424923235481</v>
      </c>
      <c r="G145" s="2">
        <v>5.1136885363101996</v>
      </c>
    </row>
    <row r="146" spans="1:7" x14ac:dyDescent="0.2">
      <c r="A146" s="25">
        <v>950</v>
      </c>
      <c r="B146" s="2">
        <v>15.632410185479602</v>
      </c>
      <c r="C146" s="2">
        <v>13.816435781920182</v>
      </c>
      <c r="D146" s="2">
        <v>13.827078383528264</v>
      </c>
      <c r="E146" s="2">
        <v>15.544421175984729</v>
      </c>
      <c r="F146" s="2">
        <v>15.16724368571202</v>
      </c>
      <c r="G146" s="2">
        <v>14.480102308259902</v>
      </c>
    </row>
    <row r="147" spans="1:7" x14ac:dyDescent="0.2">
      <c r="A147" s="25">
        <v>960</v>
      </c>
      <c r="B147" s="2">
        <v>15.703235327165217</v>
      </c>
      <c r="C147" s="2">
        <v>15.22917581940542</v>
      </c>
      <c r="D147" s="2">
        <v>15.874538569451362</v>
      </c>
      <c r="E147" s="2">
        <v>9.8862467847159028</v>
      </c>
      <c r="F147" s="2">
        <v>12.988882024908586</v>
      </c>
      <c r="G147" s="2">
        <v>6.9259778106770407</v>
      </c>
    </row>
    <row r="148" spans="1:7" x14ac:dyDescent="0.2">
      <c r="A148" s="25">
        <v>970</v>
      </c>
      <c r="B148" s="2">
        <v>15.315868141950373</v>
      </c>
      <c r="C148" s="2">
        <v>15.180477236353907</v>
      </c>
      <c r="D148" s="2">
        <v>16.016960506480864</v>
      </c>
      <c r="E148" s="2">
        <v>16.550698507749487</v>
      </c>
      <c r="F148" s="2">
        <v>16.703081953852372</v>
      </c>
      <c r="G148" s="2">
        <v>16.263971633968616</v>
      </c>
    </row>
    <row r="149" spans="1:7" x14ac:dyDescent="0.2">
      <c r="A149" s="25">
        <v>980</v>
      </c>
      <c r="B149" s="2">
        <v>15.152420720334877</v>
      </c>
      <c r="C149" s="2">
        <v>15.60682121047865</v>
      </c>
      <c r="D149" s="2">
        <v>16.041171809761913</v>
      </c>
      <c r="E149" s="2">
        <v>14.51923002271044</v>
      </c>
      <c r="F149" s="2">
        <v>15.396953548952807</v>
      </c>
      <c r="G149" s="2">
        <v>15.570607922801354</v>
      </c>
    </row>
    <row r="150" spans="1:7" x14ac:dyDescent="0.2">
      <c r="A150" s="25">
        <v>990</v>
      </c>
      <c r="B150" s="2">
        <v>15.130821823969788</v>
      </c>
      <c r="C150" s="2">
        <v>16.318771747848089</v>
      </c>
      <c r="D150" s="2">
        <v>13.177896264755015</v>
      </c>
      <c r="E150" s="2">
        <v>15.349819535779897</v>
      </c>
      <c r="F150" s="2">
        <v>15.986431234023071</v>
      </c>
      <c r="G150" s="2">
        <v>12.854627657181201</v>
      </c>
    </row>
    <row r="151" spans="1:7" x14ac:dyDescent="0.2">
      <c r="A151" s="25">
        <v>1000</v>
      </c>
      <c r="B151" s="2">
        <v>13.81163384873765</v>
      </c>
      <c r="C151" s="2">
        <v>16.472682541567679</v>
      </c>
      <c r="D151" s="2">
        <v>14.731296335363368</v>
      </c>
      <c r="E151" s="2">
        <v>13.844114221106139</v>
      </c>
      <c r="F151" s="2">
        <v>17.863726006074867</v>
      </c>
      <c r="G151" s="2">
        <v>16.632365015803213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82</vt:i4>
      </vt:variant>
    </vt:vector>
  </HeadingPairs>
  <TitlesOfParts>
    <vt:vector size="86" baseType="lpstr">
      <vt:lpstr>Pricing Menu</vt:lpstr>
      <vt:lpstr>EU Pricing</vt:lpstr>
      <vt:lpstr>Conv LS vs BS</vt:lpstr>
      <vt:lpstr>Regres. Comp</vt:lpstr>
      <vt:lpstr>Antithetic</vt:lpstr>
      <vt:lpstr>BS_Price</vt:lpstr>
      <vt:lpstr>BS_range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Menu_Steps</vt:lpstr>
      <vt:lpstr>Menu_Strike</vt:lpstr>
      <vt:lpstr>Menu_Times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2025-03-20T13:48:45Z</dcterms:modified>
</cp:coreProperties>
</file>