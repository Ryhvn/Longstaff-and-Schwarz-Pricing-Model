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evinci-my.sharepoint.com/personal/jules_hellot_edu_devinci_fr/Documents/Dauphine A5/S2/Pricing Option Americaine LS/Longstaff-and-Schwarz-Pricing-Model/"/>
    </mc:Choice>
  </mc:AlternateContent>
  <xr:revisionPtr revIDLastSave="171" documentId="13_ncr:1_{D64487F6-1352-4C4F-BDCE-FAECA356BFBA}" xr6:coauthVersionLast="47" xr6:coauthVersionMax="47" xr10:uidLastSave="{6EFDD266-B7FA-45E9-94F2-DF1CC1D470FB}"/>
  <bookViews>
    <workbookView xWindow="-108" yWindow="-108" windowWidth="23256" windowHeight="12456" xr2:uid="{38ACCF9D-1AC6-844E-A0DC-C56205881ADB}"/>
  </bookViews>
  <sheets>
    <sheet name="EU Pricing" sheetId="2" r:id="rId1"/>
    <sheet name="Conv LS vs BS" sheetId="1" r:id="rId2"/>
    <sheet name="Regres. Comp" sheetId="3" r:id="rId3"/>
  </sheets>
  <externalReferences>
    <externalReference r:id="rId4"/>
  </externalReferences>
  <definedNames>
    <definedName name="BS_Div">'[1]M1 Black &amp; Scholes Menu'!$B$12</definedName>
    <definedName name="BS_IntRate">'[1]M1 Black &amp; Scholes Menu'!$B$11</definedName>
    <definedName name="BS_K1">'[1]M1 Black &amp; Scholes Menu'!$B$4</definedName>
    <definedName name="BS_Price">'EU Pricing'!$B$21</definedName>
    <definedName name="BS_range">'Conv LS vs BS'!$C$13:$L$13</definedName>
    <definedName name="BS_Vol">'[1]M1 Black &amp; Scholes Menu'!$B$10</definedName>
    <definedName name="Compute_Antithetic">'EU Pricing'!$I$12</definedName>
    <definedName name="Conv_LS_Div">'Conv LS vs BS'!$C$8</definedName>
    <definedName name="Conv_LS_DivDate">'Conv LS vs BS'!$C$9</definedName>
    <definedName name="Conv_LS_DivType">'Conv LS vs BS'!$B$8</definedName>
    <definedName name="Conv_LS_Ex_frontier">'Conv LS vs BS'!$I$9</definedName>
    <definedName name="Conv_LS_Exercise">'Conv LS vs BS'!$F$8</definedName>
    <definedName name="Conv_LS_Maturity">'Conv LS vs BS'!$F$7</definedName>
    <definedName name="Conv_LS_OptType">'Conv LS vs BS'!$F$5</definedName>
    <definedName name="Conv_LS_P1">'Conv LS vs BS'!$C$16</definedName>
    <definedName name="Conv_LS_Paths">'Conv LS vs BS'!$I$6</definedName>
    <definedName name="Conv_LS_PList">'Conv LS vs BS'!$B$16</definedName>
    <definedName name="Conv_LS_PrDate">'Conv LS vs BS'!$I$5</definedName>
    <definedName name="Conv_LS_Rate">'Conv LS vs BS'!$C$7</definedName>
    <definedName name="Conv_LS_Seed">'Conv LS vs BS'!$I$8</definedName>
    <definedName name="Conv_LS_Spot">'Conv LS vs BS'!$C$5</definedName>
    <definedName name="Conv_LS_Steps">'Conv LS vs BS'!$I$7</definedName>
    <definedName name="Conv_LS_Strike">'Conv LS vs BS'!$F$6</definedName>
    <definedName name="Conv_LS_Vol">'Conv LS vs BS'!$C$6</definedName>
    <definedName name="Div">'EU Pricing'!$C$10</definedName>
    <definedName name="DivDate">'EU Pricing'!$C$11</definedName>
    <definedName name="DivType">'EU Pricing'!$B$10</definedName>
    <definedName name="Ex_frontier">'EU Pricing'!$I$11</definedName>
    <definedName name="Exercise">'EU Pricing'!$F$10</definedName>
    <definedName name="Exercise1">'EU Pricing'!#REF!</definedName>
    <definedName name="LPB_MC">'EU Pricing'!$D$18</definedName>
    <definedName name="Maturity">'EU Pricing'!$F$9</definedName>
    <definedName name="Maturity1">'EU Pricing'!#REF!</definedName>
    <definedName name="MCPrices">'EU Pricing'!$B$23</definedName>
    <definedName name="ModelPrices">'EU Pricing'!$B$16</definedName>
    <definedName name="OptType">'EU Pricing'!$F$7</definedName>
    <definedName name="Paths">'EU Pricing'!$I$8</definedName>
    <definedName name="Paths_Main">'EU Pricing'!$A$23</definedName>
    <definedName name="PrDate">'EU Pricing'!$I$7</definedName>
    <definedName name="Price">'EU Pricing'!#REF!</definedName>
    <definedName name="Rate">'EU Pricing'!$C$9</definedName>
    <definedName name="RC_Div">'Regres. Comp'!$C$8</definedName>
    <definedName name="RC_DivType">'Regres. Comp'!$B$8</definedName>
    <definedName name="RC_Ex_frontier">'Regres. Comp'!$I$9</definedName>
    <definedName name="RC_Exercise">'Regres. Comp'!$F$8</definedName>
    <definedName name="RC_Maturity">'Regres. Comp'!$F$7</definedName>
    <definedName name="RC_OptType">'Regres. Comp'!$F$5</definedName>
    <definedName name="RC_Paths">'Regres. Comp'!$I$6</definedName>
    <definedName name="RC_PrDate">'Regres. Comp'!$I$5</definedName>
    <definedName name="RC_Rate">'Regres. Comp'!$C$7</definedName>
    <definedName name="RC_Seed">'Regres. Comp'!$I$8</definedName>
    <definedName name="RC_Spot">'Regres. Comp'!$C$5</definedName>
    <definedName name="RC_Steps">'Regres. Comp'!$I$7</definedName>
    <definedName name="RC_StepsList">'Regres. Comp'!$A$13</definedName>
    <definedName name="RC_Strike">'Regres. Comp'!$F$6</definedName>
    <definedName name="RC_Vol">'Regres. Comp'!$C$6</definedName>
    <definedName name="RCPrices">'Regres. Comp'!$B$13</definedName>
    <definedName name="Seed">'EU Pricing'!$I$10</definedName>
    <definedName name="Spot">'EU Pricing'!$C$7</definedName>
    <definedName name="Steps">'EU Pricing'!$I$9</definedName>
    <definedName name="Strike">'EU Pricing'!$F$8</definedName>
    <definedName name="Strike_range">'Conv LS vs BS'!$C$12:$L$12</definedName>
    <definedName name="Times">'EU Pricing'!$B$17</definedName>
    <definedName name="TreePrice">'EU Pricing'!$G$16</definedName>
    <definedName name="UPB_MC">'EU Pricing'!$D$14</definedName>
    <definedName name="Vol">'EU Pricing'!$C$8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3" l="1"/>
  <c r="C5" i="3"/>
  <c r="C25" i="2" l="1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4" i="2"/>
  <c r="C23" i="2"/>
  <c r="P17" i="1" l="1"/>
  <c r="Q17" i="1"/>
  <c r="R17" i="1"/>
  <c r="S17" i="1"/>
  <c r="T17" i="1"/>
  <c r="U17" i="1"/>
  <c r="V17" i="1"/>
  <c r="W17" i="1"/>
  <c r="X17" i="1"/>
  <c r="P18" i="1"/>
  <c r="Q18" i="1"/>
  <c r="R18" i="1"/>
  <c r="S18" i="1"/>
  <c r="T18" i="1"/>
  <c r="U18" i="1"/>
  <c r="V18" i="1"/>
  <c r="W18" i="1"/>
  <c r="X18" i="1"/>
  <c r="P19" i="1"/>
  <c r="Q19" i="1"/>
  <c r="R19" i="1"/>
  <c r="S19" i="1"/>
  <c r="T19" i="1"/>
  <c r="U19" i="1"/>
  <c r="V19" i="1"/>
  <c r="W19" i="1"/>
  <c r="X19" i="1"/>
  <c r="P20" i="1"/>
  <c r="Q20" i="1"/>
  <c r="R20" i="1"/>
  <c r="S20" i="1"/>
  <c r="T20" i="1"/>
  <c r="U20" i="1"/>
  <c r="V20" i="1"/>
  <c r="W20" i="1"/>
  <c r="X20" i="1"/>
  <c r="P21" i="1"/>
  <c r="Q21" i="1"/>
  <c r="R21" i="1"/>
  <c r="S21" i="1"/>
  <c r="T21" i="1"/>
  <c r="U21" i="1"/>
  <c r="V21" i="1"/>
  <c r="W21" i="1"/>
  <c r="X21" i="1"/>
  <c r="P22" i="1"/>
  <c r="Q22" i="1"/>
  <c r="R22" i="1"/>
  <c r="S22" i="1"/>
  <c r="T22" i="1"/>
  <c r="U22" i="1"/>
  <c r="V22" i="1"/>
  <c r="W22" i="1"/>
  <c r="X22" i="1"/>
  <c r="P23" i="1"/>
  <c r="Q23" i="1"/>
  <c r="R23" i="1"/>
  <c r="S23" i="1"/>
  <c r="T23" i="1"/>
  <c r="U23" i="1"/>
  <c r="V23" i="1"/>
  <c r="W23" i="1"/>
  <c r="X23" i="1"/>
  <c r="P24" i="1"/>
  <c r="Q24" i="1"/>
  <c r="R24" i="1"/>
  <c r="S24" i="1"/>
  <c r="T24" i="1"/>
  <c r="U24" i="1"/>
  <c r="V24" i="1"/>
  <c r="W24" i="1"/>
  <c r="X24" i="1"/>
  <c r="P25" i="1"/>
  <c r="Q25" i="1"/>
  <c r="R25" i="1"/>
  <c r="S25" i="1"/>
  <c r="T25" i="1"/>
  <c r="U25" i="1"/>
  <c r="V25" i="1"/>
  <c r="W25" i="1"/>
  <c r="X25" i="1"/>
  <c r="P26" i="1"/>
  <c r="Q26" i="1"/>
  <c r="R26" i="1"/>
  <c r="S26" i="1"/>
  <c r="T26" i="1"/>
  <c r="U26" i="1"/>
  <c r="V26" i="1"/>
  <c r="W26" i="1"/>
  <c r="X26" i="1"/>
  <c r="P27" i="1"/>
  <c r="Q27" i="1"/>
  <c r="R27" i="1"/>
  <c r="S27" i="1"/>
  <c r="T27" i="1"/>
  <c r="U27" i="1"/>
  <c r="V27" i="1"/>
  <c r="W27" i="1"/>
  <c r="X27" i="1"/>
  <c r="P28" i="1"/>
  <c r="Q28" i="1"/>
  <c r="R28" i="1"/>
  <c r="S28" i="1"/>
  <c r="T28" i="1"/>
  <c r="U28" i="1"/>
  <c r="V28" i="1"/>
  <c r="W28" i="1"/>
  <c r="X28" i="1"/>
  <c r="P29" i="1"/>
  <c r="Q29" i="1"/>
  <c r="R29" i="1"/>
  <c r="S29" i="1"/>
  <c r="T29" i="1"/>
  <c r="U29" i="1"/>
  <c r="V29" i="1"/>
  <c r="W29" i="1"/>
  <c r="X29" i="1"/>
  <c r="P30" i="1"/>
  <c r="Q30" i="1"/>
  <c r="R30" i="1"/>
  <c r="S30" i="1"/>
  <c r="T30" i="1"/>
  <c r="U30" i="1"/>
  <c r="V30" i="1"/>
  <c r="W30" i="1"/>
  <c r="X30" i="1"/>
  <c r="P31" i="1"/>
  <c r="Q31" i="1"/>
  <c r="R31" i="1"/>
  <c r="S31" i="1"/>
  <c r="T31" i="1"/>
  <c r="U31" i="1"/>
  <c r="V31" i="1"/>
  <c r="W31" i="1"/>
  <c r="X31" i="1"/>
  <c r="P32" i="1"/>
  <c r="Q32" i="1"/>
  <c r="R32" i="1"/>
  <c r="S32" i="1"/>
  <c r="T32" i="1"/>
  <c r="U32" i="1"/>
  <c r="V32" i="1"/>
  <c r="W32" i="1"/>
  <c r="X32" i="1"/>
  <c r="P33" i="1"/>
  <c r="Q33" i="1"/>
  <c r="R33" i="1"/>
  <c r="S33" i="1"/>
  <c r="T33" i="1"/>
  <c r="U33" i="1"/>
  <c r="V33" i="1"/>
  <c r="W33" i="1"/>
  <c r="X33" i="1"/>
  <c r="P34" i="1"/>
  <c r="Q34" i="1"/>
  <c r="R34" i="1"/>
  <c r="S34" i="1"/>
  <c r="T34" i="1"/>
  <c r="U34" i="1"/>
  <c r="V34" i="1"/>
  <c r="W34" i="1"/>
  <c r="X34" i="1"/>
  <c r="P35" i="1"/>
  <c r="Q35" i="1"/>
  <c r="R35" i="1"/>
  <c r="S35" i="1"/>
  <c r="T35" i="1"/>
  <c r="U35" i="1"/>
  <c r="V35" i="1"/>
  <c r="W35" i="1"/>
  <c r="X35" i="1"/>
  <c r="P36" i="1"/>
  <c r="Q36" i="1"/>
  <c r="R36" i="1"/>
  <c r="S36" i="1"/>
  <c r="T36" i="1"/>
  <c r="U36" i="1"/>
  <c r="V36" i="1"/>
  <c r="W36" i="1"/>
  <c r="X36" i="1"/>
  <c r="P37" i="1"/>
  <c r="Q37" i="1"/>
  <c r="R37" i="1"/>
  <c r="S37" i="1"/>
  <c r="T37" i="1"/>
  <c r="U37" i="1"/>
  <c r="V37" i="1"/>
  <c r="W37" i="1"/>
  <c r="X37" i="1"/>
  <c r="P38" i="1"/>
  <c r="Q38" i="1"/>
  <c r="R38" i="1"/>
  <c r="S38" i="1"/>
  <c r="T38" i="1"/>
  <c r="U38" i="1"/>
  <c r="V38" i="1"/>
  <c r="W38" i="1"/>
  <c r="X38" i="1"/>
  <c r="P39" i="1"/>
  <c r="Q39" i="1"/>
  <c r="R39" i="1"/>
  <c r="S39" i="1"/>
  <c r="T39" i="1"/>
  <c r="U39" i="1"/>
  <c r="V39" i="1"/>
  <c r="W39" i="1"/>
  <c r="X39" i="1"/>
  <c r="P40" i="1"/>
  <c r="Q40" i="1"/>
  <c r="R40" i="1"/>
  <c r="S40" i="1"/>
  <c r="T40" i="1"/>
  <c r="U40" i="1"/>
  <c r="V40" i="1"/>
  <c r="W40" i="1"/>
  <c r="X40" i="1"/>
  <c r="O21" i="1"/>
  <c r="O20" i="1"/>
  <c r="O19" i="1"/>
  <c r="O18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17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O16" i="1" s="1"/>
  <c r="C5" i="1"/>
  <c r="F5" i="1"/>
  <c r="B3" i="2" a="1"/>
  <c r="B3" i="2" s="1"/>
  <c r="V16" i="1" l="1"/>
  <c r="U16" i="1"/>
  <c r="T16" i="1"/>
  <c r="S16" i="1"/>
  <c r="R16" i="1"/>
  <c r="W16" i="1"/>
  <c r="Q16" i="1"/>
  <c r="P16" i="1"/>
  <c r="X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<sst xmlns="http://schemas.openxmlformats.org/spreadsheetml/2006/main" count="105" uniqueCount="60">
  <si>
    <t>Option</t>
  </si>
  <si>
    <t>Call</t>
  </si>
  <si>
    <t>Paths</t>
  </si>
  <si>
    <t>Black-Scholes</t>
  </si>
  <si>
    <t>Steps</t>
  </si>
  <si>
    <t>Seed</t>
  </si>
  <si>
    <t>Stock price S: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</si>
  <si>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</si>
  <si>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t>Interest rate r:</t>
  </si>
  <si>
    <t>Market</t>
  </si>
  <si>
    <t>Model</t>
  </si>
  <si>
    <t>Am exec frontier</t>
  </si>
  <si>
    <t>Quadratic</t>
  </si>
  <si>
    <t>Pricing Date</t>
  </si>
  <si>
    <t>European</t>
  </si>
  <si>
    <t>Type:</t>
  </si>
  <si>
    <t>Maturity:</t>
  </si>
  <si>
    <t>Exercise</t>
  </si>
  <si>
    <t>EUR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</si>
  <si>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</si>
  <si>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</si>
  <si>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Strike:</t>
  </si>
  <si>
    <t>sec</t>
  </si>
  <si>
    <t>Strike</t>
  </si>
  <si>
    <t>Price BS</t>
  </si>
  <si>
    <t>Product:</t>
  </si>
  <si>
    <t>Price:</t>
  </si>
  <si>
    <t>Time:</t>
  </si>
  <si>
    <t>Convergence towards BS price for American call (identical to the European call)</t>
  </si>
  <si>
    <t>American Option</t>
  </si>
  <si>
    <t>Cond. Coloring</t>
  </si>
  <si>
    <t>(power)</t>
  </si>
  <si>
    <t>Différence: (MC - BS) x (NbSteps)^power</t>
  </si>
  <si>
    <t>Pricing results</t>
  </si>
  <si>
    <t>MC EU Scalar</t>
  </si>
  <si>
    <t>MC EU Vectorized</t>
  </si>
  <si>
    <t>Différence: (LS - BS) x (NbSteps)^power</t>
  </si>
  <si>
    <t>MC price (vectorized)</t>
  </si>
  <si>
    <t>Nb paths</t>
  </si>
  <si>
    <t>Continuous Dividend:</t>
  </si>
  <si>
    <t>IC MC</t>
  </si>
  <si>
    <t>Tree Price</t>
  </si>
  <si>
    <t>Upper bound</t>
  </si>
  <si>
    <t>American</t>
  </si>
  <si>
    <t>AM LS Scalar</t>
  </si>
  <si>
    <t>AM LS Vectorized</t>
  </si>
  <si>
    <t>European Options Pricing with all Methods</t>
  </si>
  <si>
    <t xml:space="preserve">Lower bound </t>
  </si>
  <si>
    <t>Comparison of LS prices adjusting regression method</t>
  </si>
  <si>
    <t>Linear</t>
  </si>
  <si>
    <t>Cubic</t>
  </si>
  <si>
    <t>Quartic</t>
  </si>
  <si>
    <t>Quintic</t>
  </si>
  <si>
    <t>Sextic</t>
  </si>
  <si>
    <t>(AM LS parameter)</t>
  </si>
  <si>
    <t>nb paths</t>
  </si>
  <si>
    <t>Variance Reduction</t>
  </si>
  <si>
    <t>Discrete Dividend:</t>
  </si>
  <si>
    <t>Dividend Date: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</si>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</sst>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"/>
    <numFmt numFmtId="165" formatCode="0.00000000"/>
    <numFmt numFmtId="166" formatCode="dd\-mmm\-yy"/>
  </numFmts>
  <fonts count="10" x14ac:knownFonts="1">
    <font>
      <sz val="12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rgb="FF6666D0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C7D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66D0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15" fontId="0" fillId="0" borderId="1" xfId="0" applyNumberFormat="1" applyBorder="1"/>
    <xf numFmtId="0" fontId="0" fillId="5" borderId="1" xfId="0" applyFill="1" applyBorder="1" applyAlignment="1">
      <alignment horizontal="center"/>
    </xf>
    <xf numFmtId="9" fontId="0" fillId="0" borderId="1" xfId="0" applyNumberFormat="1" applyBorder="1"/>
    <xf numFmtId="0" fontId="0" fillId="0" borderId="1" xfId="0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3" xfId="0" applyFill="1" applyBorder="1"/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/>
    <xf numFmtId="0" fontId="8" fillId="3" borderId="0" xfId="0" applyFont="1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/>
    </xf>
    <xf numFmtId="164" fontId="0" fillId="5" borderId="1" xfId="0" applyNumberFormat="1" applyFill="1" applyBorder="1"/>
    <xf numFmtId="165" fontId="0" fillId="5" borderId="1" xfId="0" applyNumberFormat="1" applyFill="1" applyBorder="1"/>
    <xf numFmtId="164" fontId="0" fillId="3" borderId="0" xfId="0" applyNumberFormat="1" applyFill="1"/>
    <xf numFmtId="0" fontId="5" fillId="3" borderId="0" xfId="0" applyFont="1" applyFill="1" applyAlignment="1">
      <alignment horizontal="center"/>
    </xf>
    <xf numFmtId="0" fontId="0" fillId="9" borderId="1" xfId="0" applyFill="1" applyBorder="1"/>
    <xf numFmtId="0" fontId="4" fillId="10" borderId="0" xfId="0" applyFont="1" applyFill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2" fontId="0" fillId="3" borderId="0" xfId="0" applyNumberFormat="1" applyFill="1"/>
    <xf numFmtId="0" fontId="9" fillId="11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166" fontId="0" fillId="12" borderId="1" xfId="0" applyNumberFormat="1" applyFill="1" applyBorder="1"/>
  </cellXfs>
  <cellStyles count="1">
    <cellStyle name="Normal" xfId="0" builtinId="0"/>
  </cellStyles>
  <dxfs count="2"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66D0"/>
      <color rgb="FFFF858E"/>
      <color rgb="FFAC4EF5"/>
      <color rgb="FFFF9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Graphique Convergence</a:t>
            </a:r>
            <a:r>
              <a:rPr lang="fr-FR" b="1" baseline="0"/>
              <a:t> (MC-BS)*sqrt(nb paths)</a:t>
            </a:r>
            <a:endParaRPr lang="fr-F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Fonction d'erreur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 Pricing'!$A$23:$A$269</c:f>
              <c:numCache>
                <c:formatCode>General</c:formatCode>
                <c:ptCount val="24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28</c:v>
                </c:pt>
                <c:pt idx="8">
                  <c:v>30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70</c:v>
                </c:pt>
                <c:pt idx="21">
                  <c:v>75</c:v>
                </c:pt>
                <c:pt idx="22">
                  <c:v>80</c:v>
                </c:pt>
                <c:pt idx="23">
                  <c:v>85</c:v>
                </c:pt>
                <c:pt idx="24">
                  <c:v>90</c:v>
                </c:pt>
                <c:pt idx="25">
                  <c:v>95</c:v>
                </c:pt>
                <c:pt idx="26">
                  <c:v>100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210</c:v>
                </c:pt>
                <c:pt idx="48">
                  <c:v>220</c:v>
                </c:pt>
                <c:pt idx="49">
                  <c:v>230</c:v>
                </c:pt>
                <c:pt idx="50">
                  <c:v>240</c:v>
                </c:pt>
                <c:pt idx="51">
                  <c:v>250</c:v>
                </c:pt>
                <c:pt idx="52">
                  <c:v>260</c:v>
                </c:pt>
                <c:pt idx="53">
                  <c:v>270</c:v>
                </c:pt>
                <c:pt idx="54">
                  <c:v>280</c:v>
                </c:pt>
                <c:pt idx="55">
                  <c:v>290</c:v>
                </c:pt>
                <c:pt idx="56">
                  <c:v>300</c:v>
                </c:pt>
                <c:pt idx="57">
                  <c:v>310</c:v>
                </c:pt>
                <c:pt idx="58">
                  <c:v>320</c:v>
                </c:pt>
                <c:pt idx="59">
                  <c:v>330</c:v>
                </c:pt>
                <c:pt idx="60">
                  <c:v>340</c:v>
                </c:pt>
                <c:pt idx="61">
                  <c:v>350</c:v>
                </c:pt>
                <c:pt idx="62">
                  <c:v>360</c:v>
                </c:pt>
                <c:pt idx="63">
                  <c:v>370</c:v>
                </c:pt>
                <c:pt idx="64">
                  <c:v>380</c:v>
                </c:pt>
                <c:pt idx="65">
                  <c:v>390</c:v>
                </c:pt>
                <c:pt idx="66">
                  <c:v>400</c:v>
                </c:pt>
                <c:pt idx="67">
                  <c:v>410</c:v>
                </c:pt>
                <c:pt idx="68">
                  <c:v>420</c:v>
                </c:pt>
                <c:pt idx="69">
                  <c:v>430</c:v>
                </c:pt>
                <c:pt idx="70">
                  <c:v>440</c:v>
                </c:pt>
                <c:pt idx="71">
                  <c:v>450</c:v>
                </c:pt>
                <c:pt idx="72">
                  <c:v>460</c:v>
                </c:pt>
                <c:pt idx="73">
                  <c:v>470</c:v>
                </c:pt>
                <c:pt idx="74">
                  <c:v>480</c:v>
                </c:pt>
                <c:pt idx="75">
                  <c:v>490</c:v>
                </c:pt>
                <c:pt idx="76">
                  <c:v>500</c:v>
                </c:pt>
                <c:pt idx="77">
                  <c:v>525</c:v>
                </c:pt>
                <c:pt idx="78">
                  <c:v>550</c:v>
                </c:pt>
                <c:pt idx="79">
                  <c:v>575</c:v>
                </c:pt>
                <c:pt idx="80">
                  <c:v>600</c:v>
                </c:pt>
                <c:pt idx="81">
                  <c:v>625</c:v>
                </c:pt>
                <c:pt idx="82">
                  <c:v>650</c:v>
                </c:pt>
                <c:pt idx="83">
                  <c:v>675</c:v>
                </c:pt>
                <c:pt idx="84">
                  <c:v>700</c:v>
                </c:pt>
                <c:pt idx="85">
                  <c:v>725</c:v>
                </c:pt>
                <c:pt idx="86">
                  <c:v>750</c:v>
                </c:pt>
                <c:pt idx="87">
                  <c:v>775</c:v>
                </c:pt>
                <c:pt idx="88">
                  <c:v>800</c:v>
                </c:pt>
                <c:pt idx="89">
                  <c:v>825</c:v>
                </c:pt>
                <c:pt idx="90">
                  <c:v>850</c:v>
                </c:pt>
                <c:pt idx="91">
                  <c:v>875</c:v>
                </c:pt>
                <c:pt idx="92">
                  <c:v>900</c:v>
                </c:pt>
                <c:pt idx="93">
                  <c:v>925</c:v>
                </c:pt>
                <c:pt idx="94">
                  <c:v>950</c:v>
                </c:pt>
                <c:pt idx="95">
                  <c:v>975</c:v>
                </c:pt>
                <c:pt idx="96">
                  <c:v>1000</c:v>
                </c:pt>
                <c:pt idx="97">
                  <c:v>1050</c:v>
                </c:pt>
                <c:pt idx="98">
                  <c:v>1100</c:v>
                </c:pt>
                <c:pt idx="99">
                  <c:v>1150</c:v>
                </c:pt>
                <c:pt idx="100">
                  <c:v>1200</c:v>
                </c:pt>
                <c:pt idx="101">
                  <c:v>1250</c:v>
                </c:pt>
                <c:pt idx="102">
                  <c:v>1300</c:v>
                </c:pt>
                <c:pt idx="103">
                  <c:v>1350</c:v>
                </c:pt>
                <c:pt idx="104">
                  <c:v>1400</c:v>
                </c:pt>
                <c:pt idx="105">
                  <c:v>1450</c:v>
                </c:pt>
                <c:pt idx="106">
                  <c:v>1500</c:v>
                </c:pt>
                <c:pt idx="107">
                  <c:v>1550</c:v>
                </c:pt>
                <c:pt idx="108">
                  <c:v>1600</c:v>
                </c:pt>
                <c:pt idx="109">
                  <c:v>1650</c:v>
                </c:pt>
                <c:pt idx="110">
                  <c:v>1700</c:v>
                </c:pt>
                <c:pt idx="111">
                  <c:v>1750</c:v>
                </c:pt>
                <c:pt idx="112">
                  <c:v>1800</c:v>
                </c:pt>
                <c:pt idx="113">
                  <c:v>1850</c:v>
                </c:pt>
                <c:pt idx="114">
                  <c:v>1900</c:v>
                </c:pt>
                <c:pt idx="115">
                  <c:v>1950</c:v>
                </c:pt>
                <c:pt idx="116">
                  <c:v>2000</c:v>
                </c:pt>
                <c:pt idx="117">
                  <c:v>2100</c:v>
                </c:pt>
                <c:pt idx="118">
                  <c:v>2200</c:v>
                </c:pt>
                <c:pt idx="119">
                  <c:v>2300</c:v>
                </c:pt>
                <c:pt idx="120">
                  <c:v>2400</c:v>
                </c:pt>
                <c:pt idx="121">
                  <c:v>2500</c:v>
                </c:pt>
                <c:pt idx="122">
                  <c:v>2600</c:v>
                </c:pt>
                <c:pt idx="123">
                  <c:v>2700</c:v>
                </c:pt>
                <c:pt idx="124">
                  <c:v>2800</c:v>
                </c:pt>
                <c:pt idx="125">
                  <c:v>2900</c:v>
                </c:pt>
                <c:pt idx="126">
                  <c:v>3000</c:v>
                </c:pt>
                <c:pt idx="127">
                  <c:v>3100</c:v>
                </c:pt>
                <c:pt idx="128">
                  <c:v>3200</c:v>
                </c:pt>
                <c:pt idx="129">
                  <c:v>3300</c:v>
                </c:pt>
                <c:pt idx="130">
                  <c:v>3400</c:v>
                </c:pt>
                <c:pt idx="131">
                  <c:v>3500</c:v>
                </c:pt>
                <c:pt idx="132">
                  <c:v>3600</c:v>
                </c:pt>
                <c:pt idx="133">
                  <c:v>3700</c:v>
                </c:pt>
                <c:pt idx="134">
                  <c:v>3800</c:v>
                </c:pt>
                <c:pt idx="135">
                  <c:v>3900</c:v>
                </c:pt>
                <c:pt idx="136">
                  <c:v>4000</c:v>
                </c:pt>
                <c:pt idx="137">
                  <c:v>4100</c:v>
                </c:pt>
                <c:pt idx="138">
                  <c:v>4200</c:v>
                </c:pt>
                <c:pt idx="139">
                  <c:v>4300</c:v>
                </c:pt>
                <c:pt idx="140">
                  <c:v>4400</c:v>
                </c:pt>
                <c:pt idx="141">
                  <c:v>4500</c:v>
                </c:pt>
                <c:pt idx="142">
                  <c:v>4600</c:v>
                </c:pt>
                <c:pt idx="143">
                  <c:v>4700</c:v>
                </c:pt>
                <c:pt idx="144">
                  <c:v>4800</c:v>
                </c:pt>
                <c:pt idx="145">
                  <c:v>4900</c:v>
                </c:pt>
                <c:pt idx="146">
                  <c:v>5000</c:v>
                </c:pt>
                <c:pt idx="147">
                  <c:v>5250</c:v>
                </c:pt>
                <c:pt idx="148">
                  <c:v>5500</c:v>
                </c:pt>
                <c:pt idx="149">
                  <c:v>5750</c:v>
                </c:pt>
                <c:pt idx="150">
                  <c:v>6000</c:v>
                </c:pt>
                <c:pt idx="151">
                  <c:v>6250</c:v>
                </c:pt>
                <c:pt idx="152">
                  <c:v>6500</c:v>
                </c:pt>
                <c:pt idx="153">
                  <c:v>6750</c:v>
                </c:pt>
                <c:pt idx="154">
                  <c:v>7000</c:v>
                </c:pt>
                <c:pt idx="155">
                  <c:v>7250</c:v>
                </c:pt>
                <c:pt idx="156">
                  <c:v>7500</c:v>
                </c:pt>
                <c:pt idx="157">
                  <c:v>7750</c:v>
                </c:pt>
                <c:pt idx="158">
                  <c:v>8000</c:v>
                </c:pt>
                <c:pt idx="159">
                  <c:v>8250</c:v>
                </c:pt>
                <c:pt idx="160">
                  <c:v>8500</c:v>
                </c:pt>
                <c:pt idx="161">
                  <c:v>8750</c:v>
                </c:pt>
                <c:pt idx="162">
                  <c:v>9000</c:v>
                </c:pt>
                <c:pt idx="163">
                  <c:v>9250</c:v>
                </c:pt>
                <c:pt idx="164">
                  <c:v>9500</c:v>
                </c:pt>
                <c:pt idx="165">
                  <c:v>9750</c:v>
                </c:pt>
                <c:pt idx="166">
                  <c:v>10000</c:v>
                </c:pt>
                <c:pt idx="167">
                  <c:v>10500</c:v>
                </c:pt>
                <c:pt idx="168">
                  <c:v>11000</c:v>
                </c:pt>
                <c:pt idx="169">
                  <c:v>11500</c:v>
                </c:pt>
                <c:pt idx="170">
                  <c:v>12000</c:v>
                </c:pt>
                <c:pt idx="171">
                  <c:v>12500</c:v>
                </c:pt>
                <c:pt idx="172">
                  <c:v>13000</c:v>
                </c:pt>
                <c:pt idx="173">
                  <c:v>13500</c:v>
                </c:pt>
                <c:pt idx="174">
                  <c:v>14000</c:v>
                </c:pt>
                <c:pt idx="175">
                  <c:v>14500</c:v>
                </c:pt>
                <c:pt idx="176">
                  <c:v>15000</c:v>
                </c:pt>
                <c:pt idx="177">
                  <c:v>15500</c:v>
                </c:pt>
                <c:pt idx="178">
                  <c:v>16000</c:v>
                </c:pt>
                <c:pt idx="179">
                  <c:v>16500</c:v>
                </c:pt>
                <c:pt idx="180">
                  <c:v>17000</c:v>
                </c:pt>
                <c:pt idx="181">
                  <c:v>17500</c:v>
                </c:pt>
                <c:pt idx="182">
                  <c:v>18000</c:v>
                </c:pt>
                <c:pt idx="183">
                  <c:v>18500</c:v>
                </c:pt>
                <c:pt idx="184">
                  <c:v>19000</c:v>
                </c:pt>
                <c:pt idx="185">
                  <c:v>19500</c:v>
                </c:pt>
                <c:pt idx="186">
                  <c:v>20000</c:v>
                </c:pt>
                <c:pt idx="187">
                  <c:v>21000</c:v>
                </c:pt>
                <c:pt idx="188">
                  <c:v>22000</c:v>
                </c:pt>
                <c:pt idx="189">
                  <c:v>23000</c:v>
                </c:pt>
                <c:pt idx="190">
                  <c:v>24000</c:v>
                </c:pt>
                <c:pt idx="191">
                  <c:v>25000</c:v>
                </c:pt>
                <c:pt idx="192">
                  <c:v>26000</c:v>
                </c:pt>
                <c:pt idx="193">
                  <c:v>27000</c:v>
                </c:pt>
                <c:pt idx="194">
                  <c:v>28000</c:v>
                </c:pt>
                <c:pt idx="195">
                  <c:v>29000</c:v>
                </c:pt>
                <c:pt idx="196">
                  <c:v>30000</c:v>
                </c:pt>
                <c:pt idx="197">
                  <c:v>31000</c:v>
                </c:pt>
                <c:pt idx="198">
                  <c:v>32000</c:v>
                </c:pt>
                <c:pt idx="199">
                  <c:v>33000</c:v>
                </c:pt>
                <c:pt idx="200">
                  <c:v>34000</c:v>
                </c:pt>
                <c:pt idx="201">
                  <c:v>35000</c:v>
                </c:pt>
                <c:pt idx="202">
                  <c:v>36000</c:v>
                </c:pt>
                <c:pt idx="203">
                  <c:v>37000</c:v>
                </c:pt>
                <c:pt idx="204">
                  <c:v>38000</c:v>
                </c:pt>
                <c:pt idx="205">
                  <c:v>39000</c:v>
                </c:pt>
                <c:pt idx="206">
                  <c:v>40000</c:v>
                </c:pt>
                <c:pt idx="207">
                  <c:v>41000</c:v>
                </c:pt>
                <c:pt idx="208">
                  <c:v>42000</c:v>
                </c:pt>
                <c:pt idx="209">
                  <c:v>43000</c:v>
                </c:pt>
                <c:pt idx="210">
                  <c:v>44000</c:v>
                </c:pt>
                <c:pt idx="211">
                  <c:v>45000</c:v>
                </c:pt>
                <c:pt idx="212">
                  <c:v>46000</c:v>
                </c:pt>
                <c:pt idx="213">
                  <c:v>47000</c:v>
                </c:pt>
                <c:pt idx="214">
                  <c:v>48000</c:v>
                </c:pt>
                <c:pt idx="215">
                  <c:v>49000</c:v>
                </c:pt>
                <c:pt idx="216">
                  <c:v>50000</c:v>
                </c:pt>
                <c:pt idx="217">
                  <c:v>52500</c:v>
                </c:pt>
                <c:pt idx="218">
                  <c:v>55000</c:v>
                </c:pt>
                <c:pt idx="219">
                  <c:v>57500</c:v>
                </c:pt>
                <c:pt idx="220">
                  <c:v>60000</c:v>
                </c:pt>
                <c:pt idx="221">
                  <c:v>62500</c:v>
                </c:pt>
                <c:pt idx="222">
                  <c:v>65000</c:v>
                </c:pt>
                <c:pt idx="223">
                  <c:v>67500</c:v>
                </c:pt>
                <c:pt idx="224">
                  <c:v>70000</c:v>
                </c:pt>
                <c:pt idx="225">
                  <c:v>72500</c:v>
                </c:pt>
                <c:pt idx="226">
                  <c:v>75000</c:v>
                </c:pt>
                <c:pt idx="227">
                  <c:v>77500</c:v>
                </c:pt>
                <c:pt idx="228">
                  <c:v>80000</c:v>
                </c:pt>
                <c:pt idx="229">
                  <c:v>82500</c:v>
                </c:pt>
                <c:pt idx="230">
                  <c:v>85000</c:v>
                </c:pt>
                <c:pt idx="231">
                  <c:v>87500</c:v>
                </c:pt>
                <c:pt idx="232">
                  <c:v>90000</c:v>
                </c:pt>
                <c:pt idx="233">
                  <c:v>92500</c:v>
                </c:pt>
                <c:pt idx="234">
                  <c:v>95000</c:v>
                </c:pt>
                <c:pt idx="235">
                  <c:v>97500</c:v>
                </c:pt>
                <c:pt idx="236">
                  <c:v>100000</c:v>
                </c:pt>
                <c:pt idx="237">
                  <c:v>105000</c:v>
                </c:pt>
                <c:pt idx="238">
                  <c:v>110000</c:v>
                </c:pt>
                <c:pt idx="239">
                  <c:v>115000</c:v>
                </c:pt>
                <c:pt idx="240">
                  <c:v>120000</c:v>
                </c:pt>
                <c:pt idx="241">
                  <c:v>125000</c:v>
                </c:pt>
                <c:pt idx="242">
                  <c:v>130000</c:v>
                </c:pt>
                <c:pt idx="243">
                  <c:v>135000</c:v>
                </c:pt>
                <c:pt idx="244">
                  <c:v>140000</c:v>
                </c:pt>
                <c:pt idx="245">
                  <c:v>145000</c:v>
                </c:pt>
                <c:pt idx="246">
                  <c:v>150000</c:v>
                </c:pt>
              </c:numCache>
            </c:numRef>
          </c:cat>
          <c:val>
            <c:numRef>
              <c:f>'EU Pricing'!$C$23:$C$269</c:f>
              <c:numCache>
                <c:formatCode>General</c:formatCode>
                <c:ptCount val="247"/>
                <c:pt idx="0">
                  <c:v>0.8632047343796273</c:v>
                </c:pt>
                <c:pt idx="1">
                  <c:v>23.547592145637989</c:v>
                </c:pt>
                <c:pt idx="2">
                  <c:v>16.246467117254522</c:v>
                </c:pt>
                <c:pt idx="3">
                  <c:v>5.9824554240783687</c:v>
                </c:pt>
                <c:pt idx="4">
                  <c:v>3.8955820799735035</c:v>
                </c:pt>
                <c:pt idx="5">
                  <c:v>-1.7009454930320158</c:v>
                </c:pt>
                <c:pt idx="6">
                  <c:v>-9.2050869874385555</c:v>
                </c:pt>
                <c:pt idx="7">
                  <c:v>-15.075899518797222</c:v>
                </c:pt>
                <c:pt idx="8">
                  <c:v>-19.202034794102694</c:v>
                </c:pt>
                <c:pt idx="9">
                  <c:v>-5.566436904787551</c:v>
                </c:pt>
                <c:pt idx="10">
                  <c:v>-2.0309857422433701</c:v>
                </c:pt>
                <c:pt idx="11">
                  <c:v>-1.2656999858699349</c:v>
                </c:pt>
                <c:pt idx="12">
                  <c:v>-3.1164064300735954</c:v>
                </c:pt>
                <c:pt idx="13">
                  <c:v>1.1314304982394978</c:v>
                </c:pt>
                <c:pt idx="14">
                  <c:v>-1.8081746108899335</c:v>
                </c:pt>
                <c:pt idx="15">
                  <c:v>-4.5487254399279013</c:v>
                </c:pt>
                <c:pt idx="16">
                  <c:v>-8.0488845579532668</c:v>
                </c:pt>
                <c:pt idx="17">
                  <c:v>-3.590944353019522</c:v>
                </c:pt>
                <c:pt idx="18">
                  <c:v>8.9164482241112228</c:v>
                </c:pt>
                <c:pt idx="19">
                  <c:v>16.0570162583738</c:v>
                </c:pt>
                <c:pt idx="20">
                  <c:v>28.248393269525319</c:v>
                </c:pt>
                <c:pt idx="21">
                  <c:v>29.807307220888028</c:v>
                </c:pt>
                <c:pt idx="22">
                  <c:v>25.378787885323689</c:v>
                </c:pt>
                <c:pt idx="23">
                  <c:v>24.24696399362999</c:v>
                </c:pt>
                <c:pt idx="24">
                  <c:v>27.530572959678047</c:v>
                </c:pt>
                <c:pt idx="25">
                  <c:v>26.521731487728761</c:v>
                </c:pt>
                <c:pt idx="26">
                  <c:v>25.614179288339223</c:v>
                </c:pt>
                <c:pt idx="27">
                  <c:v>26.154385439500963</c:v>
                </c:pt>
                <c:pt idx="28">
                  <c:v>26.388336206764027</c:v>
                </c:pt>
                <c:pt idx="29">
                  <c:v>20.64613818107356</c:v>
                </c:pt>
                <c:pt idx="30">
                  <c:v>23.808399099214597</c:v>
                </c:pt>
                <c:pt idx="31">
                  <c:v>17.647822990925146</c:v>
                </c:pt>
                <c:pt idx="32">
                  <c:v>14.717591967755231</c:v>
                </c:pt>
                <c:pt idx="33">
                  <c:v>17.890380737472686</c:v>
                </c:pt>
                <c:pt idx="34">
                  <c:v>12.889488893399344</c:v>
                </c:pt>
                <c:pt idx="35">
                  <c:v>7.6460286864770426</c:v>
                </c:pt>
                <c:pt idx="36">
                  <c:v>9.623360332277878</c:v>
                </c:pt>
                <c:pt idx="37">
                  <c:v>4.3664871443894473</c:v>
                </c:pt>
                <c:pt idx="38">
                  <c:v>4.6066670065433817</c:v>
                </c:pt>
                <c:pt idx="39">
                  <c:v>3.5179757997649133</c:v>
                </c:pt>
                <c:pt idx="40">
                  <c:v>3.7392551783472228</c:v>
                </c:pt>
                <c:pt idx="41">
                  <c:v>-0.34171855971134407</c:v>
                </c:pt>
                <c:pt idx="42">
                  <c:v>4.8025367658138531</c:v>
                </c:pt>
                <c:pt idx="43">
                  <c:v>7.5986568737748916</c:v>
                </c:pt>
                <c:pt idx="44">
                  <c:v>5.1538960473838173</c:v>
                </c:pt>
                <c:pt idx="45">
                  <c:v>4.4826032654289509</c:v>
                </c:pt>
                <c:pt idx="46">
                  <c:v>4.0371913686796912</c:v>
                </c:pt>
                <c:pt idx="47">
                  <c:v>4.1250887025675036</c:v>
                </c:pt>
                <c:pt idx="48">
                  <c:v>-1.1798872042220185</c:v>
                </c:pt>
                <c:pt idx="49">
                  <c:v>0.14003643611165531</c:v>
                </c:pt>
                <c:pt idx="50">
                  <c:v>4.7308394897417667</c:v>
                </c:pt>
                <c:pt idx="51">
                  <c:v>3.6182451246675482</c:v>
                </c:pt>
                <c:pt idx="52">
                  <c:v>6.8379633504959925</c:v>
                </c:pt>
                <c:pt idx="53">
                  <c:v>4.374920193167907E-3</c:v>
                </c:pt>
                <c:pt idx="54">
                  <c:v>11.628115976535444</c:v>
                </c:pt>
                <c:pt idx="55">
                  <c:v>13.194318636628656</c:v>
                </c:pt>
                <c:pt idx="56">
                  <c:v>8.3380091424790432</c:v>
                </c:pt>
                <c:pt idx="57">
                  <c:v>4.767279999948185</c:v>
                </c:pt>
                <c:pt idx="58">
                  <c:v>7.087022235683726</c:v>
                </c:pt>
                <c:pt idx="59">
                  <c:v>3.5820214532651535</c:v>
                </c:pt>
                <c:pt idx="60">
                  <c:v>1.756586916560013</c:v>
                </c:pt>
                <c:pt idx="61">
                  <c:v>-0.65803386722222013</c:v>
                </c:pt>
                <c:pt idx="62">
                  <c:v>3.1282235235692979</c:v>
                </c:pt>
                <c:pt idx="63">
                  <c:v>4.5267850676599846</c:v>
                </c:pt>
                <c:pt idx="64">
                  <c:v>1.6762588998076089</c:v>
                </c:pt>
                <c:pt idx="65">
                  <c:v>-0.12712728747626931</c:v>
                </c:pt>
                <c:pt idx="66">
                  <c:v>2.7206891417791113</c:v>
                </c:pt>
                <c:pt idx="67">
                  <c:v>4.3436708267377266</c:v>
                </c:pt>
                <c:pt idx="68">
                  <c:v>8.7007892227085737</c:v>
                </c:pt>
                <c:pt idx="69">
                  <c:v>4.853572244417367</c:v>
                </c:pt>
                <c:pt idx="70">
                  <c:v>2.1933266724345346</c:v>
                </c:pt>
                <c:pt idx="71">
                  <c:v>14.749052144928353</c:v>
                </c:pt>
                <c:pt idx="72">
                  <c:v>13.762626615045871</c:v>
                </c:pt>
                <c:pt idx="73">
                  <c:v>11.865658486049886</c:v>
                </c:pt>
                <c:pt idx="74">
                  <c:v>14.273117236300948</c:v>
                </c:pt>
                <c:pt idx="75">
                  <c:v>10.333770007067299</c:v>
                </c:pt>
                <c:pt idx="76">
                  <c:v>14.159370496457541</c:v>
                </c:pt>
                <c:pt idx="77">
                  <c:v>15.102026281504925</c:v>
                </c:pt>
                <c:pt idx="78">
                  <c:v>8.7105199425174078</c:v>
                </c:pt>
                <c:pt idx="79">
                  <c:v>13.805771551824737</c:v>
                </c:pt>
                <c:pt idx="80">
                  <c:v>13.88523698644919</c:v>
                </c:pt>
                <c:pt idx="81">
                  <c:v>9.974339283318745</c:v>
                </c:pt>
                <c:pt idx="82">
                  <c:v>11.20562544201371</c:v>
                </c:pt>
                <c:pt idx="83">
                  <c:v>15.547493852131636</c:v>
                </c:pt>
                <c:pt idx="84">
                  <c:v>16.654513601700479</c:v>
                </c:pt>
                <c:pt idx="85">
                  <c:v>23.283780913667382</c:v>
                </c:pt>
                <c:pt idx="86">
                  <c:v>25.831853547153763</c:v>
                </c:pt>
                <c:pt idx="87">
                  <c:v>21.33451703556338</c:v>
                </c:pt>
                <c:pt idx="88">
                  <c:v>26.924971995304372</c:v>
                </c:pt>
                <c:pt idx="89">
                  <c:v>26.209786344407309</c:v>
                </c:pt>
                <c:pt idx="90">
                  <c:v>23.592908113344937</c:v>
                </c:pt>
                <c:pt idx="91">
                  <c:v>26.486301882425806</c:v>
                </c:pt>
                <c:pt idx="92">
                  <c:v>18.897158977217501</c:v>
                </c:pt>
                <c:pt idx="93">
                  <c:v>26.043857458993056</c:v>
                </c:pt>
                <c:pt idx="94">
                  <c:v>27.762696567361761</c:v>
                </c:pt>
                <c:pt idx="95">
                  <c:v>23.434539838069828</c:v>
                </c:pt>
                <c:pt idx="96">
                  <c:v>21.212106219229625</c:v>
                </c:pt>
                <c:pt idx="97">
                  <c:v>21.424193392654626</c:v>
                </c:pt>
                <c:pt idx="98">
                  <c:v>19.191436733723009</c:v>
                </c:pt>
                <c:pt idx="99">
                  <c:v>18.122350565140383</c:v>
                </c:pt>
                <c:pt idx="100">
                  <c:v>16.701443606513877</c:v>
                </c:pt>
                <c:pt idx="101">
                  <c:v>19.017344876751441</c:v>
                </c:pt>
                <c:pt idx="102">
                  <c:v>21.43200879807226</c:v>
                </c:pt>
                <c:pt idx="103">
                  <c:v>21.769690212363667</c:v>
                </c:pt>
                <c:pt idx="104">
                  <c:v>20.271236308742822</c:v>
                </c:pt>
                <c:pt idx="105">
                  <c:v>14.110228494834477</c:v>
                </c:pt>
                <c:pt idx="106">
                  <c:v>11.562371373765025</c:v>
                </c:pt>
                <c:pt idx="107">
                  <c:v>12.905154034620768</c:v>
                </c:pt>
                <c:pt idx="108">
                  <c:v>12.909112083152152</c:v>
                </c:pt>
                <c:pt idx="109">
                  <c:v>12.26543347712898</c:v>
                </c:pt>
                <c:pt idx="110">
                  <c:v>17.579058343859284</c:v>
                </c:pt>
                <c:pt idx="111">
                  <c:v>16.8352793862054</c:v>
                </c:pt>
                <c:pt idx="112">
                  <c:v>10.600294162368595</c:v>
                </c:pt>
                <c:pt idx="113">
                  <c:v>9.3876068454508736</c:v>
                </c:pt>
                <c:pt idx="114">
                  <c:v>7.7821037203873171</c:v>
                </c:pt>
                <c:pt idx="115">
                  <c:v>3.5529782912857164</c:v>
                </c:pt>
                <c:pt idx="116">
                  <c:v>-0.66682548787511009</c:v>
                </c:pt>
                <c:pt idx="117">
                  <c:v>-4.1218439645669385</c:v>
                </c:pt>
                <c:pt idx="118">
                  <c:v>-7.8096593361850513</c:v>
                </c:pt>
                <c:pt idx="119">
                  <c:v>-13.152399691547789</c:v>
                </c:pt>
                <c:pt idx="120">
                  <c:v>-13.287671347410621</c:v>
                </c:pt>
                <c:pt idx="121">
                  <c:v>-13.568615204644541</c:v>
                </c:pt>
                <c:pt idx="122">
                  <c:v>-17.737616305019987</c:v>
                </c:pt>
                <c:pt idx="123">
                  <c:v>-11.110175296648688</c:v>
                </c:pt>
                <c:pt idx="124">
                  <c:v>-14.588841598673097</c:v>
                </c:pt>
                <c:pt idx="125">
                  <c:v>-17.058405763562671</c:v>
                </c:pt>
                <c:pt idx="126">
                  <c:v>-21.529438257054462</c:v>
                </c:pt>
                <c:pt idx="127">
                  <c:v>-9.5275403616740117</c:v>
                </c:pt>
                <c:pt idx="128">
                  <c:v>-9.5046363409990313</c:v>
                </c:pt>
                <c:pt idx="129">
                  <c:v>-4.1503145988520798</c:v>
                </c:pt>
                <c:pt idx="130">
                  <c:v>-3.2515560022264869</c:v>
                </c:pt>
                <c:pt idx="131">
                  <c:v>-2.7427816104621416</c:v>
                </c:pt>
                <c:pt idx="132">
                  <c:v>-4.9750313599598073</c:v>
                </c:pt>
                <c:pt idx="133">
                  <c:v>-3.5052343603435303</c:v>
                </c:pt>
                <c:pt idx="134">
                  <c:v>-6.0767931420435906</c:v>
                </c:pt>
                <c:pt idx="135">
                  <c:v>-1.4947098397742589</c:v>
                </c:pt>
                <c:pt idx="136">
                  <c:v>-7.1580671772944129</c:v>
                </c:pt>
                <c:pt idx="137">
                  <c:v>-3.1099645998476779</c:v>
                </c:pt>
                <c:pt idx="138">
                  <c:v>-3.1314613904620137</c:v>
                </c:pt>
                <c:pt idx="139">
                  <c:v>4.4298575873697557</c:v>
                </c:pt>
                <c:pt idx="140">
                  <c:v>4.8216289003355852</c:v>
                </c:pt>
                <c:pt idx="141">
                  <c:v>7.7960541620870414</c:v>
                </c:pt>
                <c:pt idx="142">
                  <c:v>0.52174750768249267</c:v>
                </c:pt>
                <c:pt idx="143">
                  <c:v>3.6922799621682985</c:v>
                </c:pt>
                <c:pt idx="144">
                  <c:v>2.3094327767078009</c:v>
                </c:pt>
                <c:pt idx="145">
                  <c:v>7.8819661993498435</c:v>
                </c:pt>
                <c:pt idx="146">
                  <c:v>5.6657271389306318</c:v>
                </c:pt>
                <c:pt idx="147">
                  <c:v>8.7173764747068105</c:v>
                </c:pt>
                <c:pt idx="148">
                  <c:v>11.521022581484841</c:v>
                </c:pt>
                <c:pt idx="149">
                  <c:v>16.067864617787851</c:v>
                </c:pt>
                <c:pt idx="150">
                  <c:v>11.063057329165074</c:v>
                </c:pt>
                <c:pt idx="151">
                  <c:v>3.7273130375878352</c:v>
                </c:pt>
                <c:pt idx="152">
                  <c:v>3.3194573497765445</c:v>
                </c:pt>
                <c:pt idx="153">
                  <c:v>5.8313595755741092</c:v>
                </c:pt>
                <c:pt idx="154">
                  <c:v>3.421500778484647</c:v>
                </c:pt>
                <c:pt idx="155">
                  <c:v>-2.7536194753709471</c:v>
                </c:pt>
                <c:pt idx="156">
                  <c:v>-5.5504207983485543</c:v>
                </c:pt>
                <c:pt idx="157">
                  <c:v>-5.3049367388323496</c:v>
                </c:pt>
                <c:pt idx="158">
                  <c:v>-2.4870071165596368</c:v>
                </c:pt>
                <c:pt idx="159">
                  <c:v>0.26666685315620287</c:v>
                </c:pt>
                <c:pt idx="160">
                  <c:v>3.8337572762902082E-2</c:v>
                </c:pt>
                <c:pt idx="161">
                  <c:v>0.62136097252553324</c:v>
                </c:pt>
                <c:pt idx="162">
                  <c:v>3.1005327558342741</c:v>
                </c:pt>
                <c:pt idx="163">
                  <c:v>10.176902183820278</c:v>
                </c:pt>
                <c:pt idx="164">
                  <c:v>5.8301904191479865</c:v>
                </c:pt>
                <c:pt idx="165">
                  <c:v>3.4477168370601383</c:v>
                </c:pt>
                <c:pt idx="166">
                  <c:v>6.6558531101669871</c:v>
                </c:pt>
                <c:pt idx="167">
                  <c:v>4.9322622576757977</c:v>
                </c:pt>
                <c:pt idx="168">
                  <c:v>4.4520536889710467</c:v>
                </c:pt>
                <c:pt idx="169">
                  <c:v>0.7043358282101867</c:v>
                </c:pt>
                <c:pt idx="170">
                  <c:v>4.6059653460808851</c:v>
                </c:pt>
                <c:pt idx="171">
                  <c:v>2.9019259805510065</c:v>
                </c:pt>
                <c:pt idx="172">
                  <c:v>1.1631041014064647</c:v>
                </c:pt>
                <c:pt idx="173">
                  <c:v>0.32914740764822725</c:v>
                </c:pt>
                <c:pt idx="174">
                  <c:v>1.469885316748782</c:v>
                </c:pt>
                <c:pt idx="175">
                  <c:v>-0.98131834895160885</c:v>
                </c:pt>
                <c:pt idx="176">
                  <c:v>-4.9041987558338613</c:v>
                </c:pt>
                <c:pt idx="177">
                  <c:v>-1.6351961577797178</c:v>
                </c:pt>
                <c:pt idx="178">
                  <c:v>1.4427507777694528</c:v>
                </c:pt>
                <c:pt idx="179">
                  <c:v>-4.0453615764664912</c:v>
                </c:pt>
                <c:pt idx="180">
                  <c:v>-5.1746984423773199</c:v>
                </c:pt>
                <c:pt idx="181">
                  <c:v>-4.8388101247497701</c:v>
                </c:pt>
                <c:pt idx="182">
                  <c:v>-3.4615846095217222</c:v>
                </c:pt>
                <c:pt idx="183">
                  <c:v>-4.089058595117673</c:v>
                </c:pt>
                <c:pt idx="184">
                  <c:v>-2.5711437471182093</c:v>
                </c:pt>
                <c:pt idx="185">
                  <c:v>-1.1278688859315851</c:v>
                </c:pt>
                <c:pt idx="186">
                  <c:v>-0.81126469204815388</c:v>
                </c:pt>
                <c:pt idx="187">
                  <c:v>-8.1011817719716142</c:v>
                </c:pt>
                <c:pt idx="188">
                  <c:v>-11.157714379719916</c:v>
                </c:pt>
                <c:pt idx="189">
                  <c:v>-13.539317204229</c:v>
                </c:pt>
                <c:pt idx="190">
                  <c:v>-9.6341545564295341</c:v>
                </c:pt>
                <c:pt idx="191">
                  <c:v>-10.26949737109582</c:v>
                </c:pt>
                <c:pt idx="192">
                  <c:v>-15.034547018189508</c:v>
                </c:pt>
                <c:pt idx="193">
                  <c:v>-14.594302535073698</c:v>
                </c:pt>
                <c:pt idx="194">
                  <c:v>-12.482125642559707</c:v>
                </c:pt>
                <c:pt idx="195">
                  <c:v>-10.05133702161546</c:v>
                </c:pt>
                <c:pt idx="196">
                  <c:v>-12.451434680485518</c:v>
                </c:pt>
                <c:pt idx="197">
                  <c:v>-12.407658500252767</c:v>
                </c:pt>
                <c:pt idx="198">
                  <c:v>-11.65414717444137</c:v>
                </c:pt>
                <c:pt idx="199">
                  <c:v>0.64837515879942331</c:v>
                </c:pt>
                <c:pt idx="200">
                  <c:v>6.2112672354186982</c:v>
                </c:pt>
                <c:pt idx="201">
                  <c:v>4.813652468577291</c:v>
                </c:pt>
                <c:pt idx="202">
                  <c:v>1.9043375488365764</c:v>
                </c:pt>
                <c:pt idx="203">
                  <c:v>2.6376801615909384</c:v>
                </c:pt>
                <c:pt idx="204">
                  <c:v>7.3283808777369384</c:v>
                </c:pt>
                <c:pt idx="205">
                  <c:v>1.785092900229696</c:v>
                </c:pt>
                <c:pt idx="206">
                  <c:v>5.4882186950102607</c:v>
                </c:pt>
                <c:pt idx="207">
                  <c:v>9.9590302406435605</c:v>
                </c:pt>
                <c:pt idx="208">
                  <c:v>10.431759783787973</c:v>
                </c:pt>
                <c:pt idx="209">
                  <c:v>5.8888922731651032</c:v>
                </c:pt>
                <c:pt idx="210">
                  <c:v>6.2334156073120459</c:v>
                </c:pt>
                <c:pt idx="211">
                  <c:v>10.953165354400523</c:v>
                </c:pt>
                <c:pt idx="212">
                  <c:v>17.889426372229991</c:v>
                </c:pt>
                <c:pt idx="213">
                  <c:v>19.981596575896198</c:v>
                </c:pt>
                <c:pt idx="214">
                  <c:v>22.551032736719879</c:v>
                </c:pt>
                <c:pt idx="215">
                  <c:v>20.563136416988602</c:v>
                </c:pt>
                <c:pt idx="216">
                  <c:v>17.082682523466527</c:v>
                </c:pt>
                <c:pt idx="217">
                  <c:v>17.20826266858769</c:v>
                </c:pt>
                <c:pt idx="218">
                  <c:v>19.790680165921142</c:v>
                </c:pt>
                <c:pt idx="219">
                  <c:v>16.237618171005312</c:v>
                </c:pt>
                <c:pt idx="220">
                  <c:v>17.615622702138648</c:v>
                </c:pt>
                <c:pt idx="221">
                  <c:v>18.285509519992527</c:v>
                </c:pt>
                <c:pt idx="222">
                  <c:v>18.552517657017756</c:v>
                </c:pt>
                <c:pt idx="223">
                  <c:v>14.697787914076212</c:v>
                </c:pt>
                <c:pt idx="224">
                  <c:v>14.515501947573116</c:v>
                </c:pt>
                <c:pt idx="225">
                  <c:v>13.35925568941208</c:v>
                </c:pt>
                <c:pt idx="226">
                  <c:v>15.293602486694926</c:v>
                </c:pt>
                <c:pt idx="227">
                  <c:v>19.99754228329834</c:v>
                </c:pt>
                <c:pt idx="228">
                  <c:v>18.96467571872601</c:v>
                </c:pt>
                <c:pt idx="229">
                  <c:v>23.993854787223572</c:v>
                </c:pt>
                <c:pt idx="230">
                  <c:v>20.898745700058765</c:v>
                </c:pt>
                <c:pt idx="231">
                  <c:v>21.468744510052396</c:v>
                </c:pt>
                <c:pt idx="232">
                  <c:v>21.683845055131634</c:v>
                </c:pt>
                <c:pt idx="233">
                  <c:v>23.22424586239805</c:v>
                </c:pt>
                <c:pt idx="234">
                  <c:v>24.609365647204324</c:v>
                </c:pt>
                <c:pt idx="235">
                  <c:v>29.706781153348086</c:v>
                </c:pt>
                <c:pt idx="236">
                  <c:v>28.668950014217643</c:v>
                </c:pt>
                <c:pt idx="237">
                  <c:v>33.674353690255742</c:v>
                </c:pt>
                <c:pt idx="238">
                  <c:v>30.127942358665408</c:v>
                </c:pt>
                <c:pt idx="239">
                  <c:v>24.548817833576361</c:v>
                </c:pt>
                <c:pt idx="240">
                  <c:v>25.422842275780067</c:v>
                </c:pt>
                <c:pt idx="241">
                  <c:v>26.6206099499027</c:v>
                </c:pt>
                <c:pt idx="242">
                  <c:v>32.419468239538773</c:v>
                </c:pt>
                <c:pt idx="243">
                  <c:v>32.838333692569861</c:v>
                </c:pt>
                <c:pt idx="244">
                  <c:v>24.083163144992184</c:v>
                </c:pt>
                <c:pt idx="245">
                  <c:v>24.109804023373734</c:v>
                </c:pt>
                <c:pt idx="246">
                  <c:v>27.783074993752749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3-3745-A06E-36B0D8419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61727"/>
        <c:axId val="872497199"/>
      </c:lineChart>
      <c:catAx>
        <c:axId val="87246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97199"/>
        <c:crosses val="autoZero"/>
        <c:auto val="1"/>
        <c:lblAlgn val="ctr"/>
        <c:lblOffset val="100"/>
        <c:noMultiLvlLbl val="0"/>
      </c:catAx>
      <c:valAx>
        <c:axId val="87249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6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aseline="0"/>
              <a:t>LS prices comparisons with regression methods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'Regres. Comp'!$B$12</c:f>
              <c:strCache>
                <c:ptCount val="1"/>
                <c:pt idx="0">
                  <c:v>Linear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Comp'!$B$13:$B$321</c:f>
              <c:numCache>
                <c:formatCode>General</c:formatCode>
                <c:ptCount val="309"/>
                <c:pt idx="0">
                  <c:v>16.025884724413967</c:v>
                </c:pt>
                <c:pt idx="1">
                  <c:v>17.249128556173368</c:v>
                </c:pt>
                <c:pt idx="2">
                  <c:v>13.132327641981368</c:v>
                </c:pt>
                <c:pt idx="3">
                  <c:v>13.768195560879958</c:v>
                </c:pt>
                <c:pt idx="4">
                  <c:v>15.724228276134543</c:v>
                </c:pt>
                <c:pt idx="5">
                  <c:v>14.652022917159446</c:v>
                </c:pt>
                <c:pt idx="6">
                  <c:v>13.368788170462715</c:v>
                </c:pt>
                <c:pt idx="7">
                  <c:v>15.992690877989446</c:v>
                </c:pt>
                <c:pt idx="8">
                  <c:v>16.336987229043704</c:v>
                </c:pt>
                <c:pt idx="9">
                  <c:v>11.453371943661304</c:v>
                </c:pt>
                <c:pt idx="10">
                  <c:v>16.050780916306458</c:v>
                </c:pt>
                <c:pt idx="11">
                  <c:v>15.823142798742726</c:v>
                </c:pt>
                <c:pt idx="12">
                  <c:v>15.557350713168416</c:v>
                </c:pt>
                <c:pt idx="13">
                  <c:v>15.862463109506985</c:v>
                </c:pt>
                <c:pt idx="14">
                  <c:v>15.945852026021887</c:v>
                </c:pt>
                <c:pt idx="15">
                  <c:v>17.029123718255399</c:v>
                </c:pt>
                <c:pt idx="16">
                  <c:v>13.502902131647257</c:v>
                </c:pt>
                <c:pt idx="17">
                  <c:v>14.998003714564362</c:v>
                </c:pt>
                <c:pt idx="18">
                  <c:v>15.249761794273747</c:v>
                </c:pt>
                <c:pt idx="19">
                  <c:v>13.9003384076993</c:v>
                </c:pt>
                <c:pt idx="20">
                  <c:v>14.045774493029628</c:v>
                </c:pt>
                <c:pt idx="21">
                  <c:v>17.369095290190398</c:v>
                </c:pt>
                <c:pt idx="22">
                  <c:v>16.147025699738489</c:v>
                </c:pt>
                <c:pt idx="23">
                  <c:v>16.924509787942558</c:v>
                </c:pt>
                <c:pt idx="24">
                  <c:v>17.97957998422903</c:v>
                </c:pt>
                <c:pt idx="25">
                  <c:v>15.93431592468529</c:v>
                </c:pt>
                <c:pt idx="26">
                  <c:v>15.974133804367019</c:v>
                </c:pt>
                <c:pt idx="27">
                  <c:v>14.492667422031476</c:v>
                </c:pt>
                <c:pt idx="28">
                  <c:v>14.864750738461449</c:v>
                </c:pt>
                <c:pt idx="29">
                  <c:v>16.006256667099063</c:v>
                </c:pt>
                <c:pt idx="30">
                  <c:v>15.435069278474876</c:v>
                </c:pt>
                <c:pt idx="31">
                  <c:v>16.437658079863262</c:v>
                </c:pt>
                <c:pt idx="32">
                  <c:v>14.092753198171366</c:v>
                </c:pt>
                <c:pt idx="33">
                  <c:v>16.495369919736557</c:v>
                </c:pt>
                <c:pt idx="34">
                  <c:v>14.399471278769649</c:v>
                </c:pt>
                <c:pt idx="35">
                  <c:v>17.349896819226583</c:v>
                </c:pt>
                <c:pt idx="36">
                  <c:v>16.081776056661337</c:v>
                </c:pt>
                <c:pt idx="37">
                  <c:v>17.765940566082907</c:v>
                </c:pt>
                <c:pt idx="38">
                  <c:v>18.005416403871124</c:v>
                </c:pt>
                <c:pt idx="39">
                  <c:v>16.090392050401068</c:v>
                </c:pt>
                <c:pt idx="40">
                  <c:v>16.082834898769935</c:v>
                </c:pt>
                <c:pt idx="41">
                  <c:v>16.116531057305256</c:v>
                </c:pt>
                <c:pt idx="42">
                  <c:v>16.186178626114916</c:v>
                </c:pt>
                <c:pt idx="43">
                  <c:v>15.03030474020513</c:v>
                </c:pt>
                <c:pt idx="44">
                  <c:v>13.608773371064114</c:v>
                </c:pt>
                <c:pt idx="45">
                  <c:v>16.363719326591241</c:v>
                </c:pt>
                <c:pt idx="46">
                  <c:v>14.85843011764509</c:v>
                </c:pt>
                <c:pt idx="47">
                  <c:v>15.076088539556521</c:v>
                </c:pt>
                <c:pt idx="48">
                  <c:v>15.903348954849543</c:v>
                </c:pt>
                <c:pt idx="49">
                  <c:v>14.404034458760249</c:v>
                </c:pt>
                <c:pt idx="50">
                  <c:v>15.384558890162715</c:v>
                </c:pt>
                <c:pt idx="51">
                  <c:v>16.674308150185695</c:v>
                </c:pt>
                <c:pt idx="52">
                  <c:v>16.256918119566425</c:v>
                </c:pt>
                <c:pt idx="53">
                  <c:v>5.2713638874072597</c:v>
                </c:pt>
                <c:pt idx="54">
                  <c:v>13.787075290779731</c:v>
                </c:pt>
                <c:pt idx="55">
                  <c:v>13.94385416372835</c:v>
                </c:pt>
                <c:pt idx="56">
                  <c:v>10.303013080098117</c:v>
                </c:pt>
                <c:pt idx="57">
                  <c:v>13.199586716919145</c:v>
                </c:pt>
                <c:pt idx="58">
                  <c:v>14.55180989428761</c:v>
                </c:pt>
                <c:pt idx="59">
                  <c:v>6.1866090691936879</c:v>
                </c:pt>
                <c:pt idx="60">
                  <c:v>15.933343513160894</c:v>
                </c:pt>
                <c:pt idx="61">
                  <c:v>16.154331240251988</c:v>
                </c:pt>
                <c:pt idx="62">
                  <c:v>16.286683271075901</c:v>
                </c:pt>
                <c:pt idx="63">
                  <c:v>14.814229316174904</c:v>
                </c:pt>
                <c:pt idx="64">
                  <c:v>15.314230712995682</c:v>
                </c:pt>
                <c:pt idx="65">
                  <c:v>16.909371102880375</c:v>
                </c:pt>
                <c:pt idx="66">
                  <c:v>15.544116508465802</c:v>
                </c:pt>
                <c:pt idx="67">
                  <c:v>14.404267203714422</c:v>
                </c:pt>
                <c:pt idx="68">
                  <c:v>15.671982865770481</c:v>
                </c:pt>
                <c:pt idx="69">
                  <c:v>10.811508604506933</c:v>
                </c:pt>
                <c:pt idx="70">
                  <c:v>15.072316637559533</c:v>
                </c:pt>
                <c:pt idx="71">
                  <c:v>14.667501204882621</c:v>
                </c:pt>
                <c:pt idx="72">
                  <c:v>15.362352048812706</c:v>
                </c:pt>
                <c:pt idx="73">
                  <c:v>12.854139622760563</c:v>
                </c:pt>
                <c:pt idx="74">
                  <c:v>14.254215234983938</c:v>
                </c:pt>
                <c:pt idx="75">
                  <c:v>16.095183226748695</c:v>
                </c:pt>
                <c:pt idx="76">
                  <c:v>15.295236991425842</c:v>
                </c:pt>
                <c:pt idx="77">
                  <c:v>15.221238175561689</c:v>
                </c:pt>
                <c:pt idx="78">
                  <c:v>12.5859968699693</c:v>
                </c:pt>
                <c:pt idx="79">
                  <c:v>10.237551391398997</c:v>
                </c:pt>
                <c:pt idx="80">
                  <c:v>15.747944493411998</c:v>
                </c:pt>
                <c:pt idx="81">
                  <c:v>14.645492677669175</c:v>
                </c:pt>
                <c:pt idx="82">
                  <c:v>14.653177691971241</c:v>
                </c:pt>
                <c:pt idx="83">
                  <c:v>15.355044716516696</c:v>
                </c:pt>
                <c:pt idx="84">
                  <c:v>16.292369765106198</c:v>
                </c:pt>
                <c:pt idx="85">
                  <c:v>15.237033467012248</c:v>
                </c:pt>
                <c:pt idx="86">
                  <c:v>15.54558195508266</c:v>
                </c:pt>
                <c:pt idx="87">
                  <c:v>15.369624049702146</c:v>
                </c:pt>
                <c:pt idx="88">
                  <c:v>16.041757666062075</c:v>
                </c:pt>
                <c:pt idx="89">
                  <c:v>15.060416639880579</c:v>
                </c:pt>
                <c:pt idx="90">
                  <c:v>15.375690872648537</c:v>
                </c:pt>
                <c:pt idx="91">
                  <c:v>15.111316147552808</c:v>
                </c:pt>
                <c:pt idx="92">
                  <c:v>9.6560066957854378</c:v>
                </c:pt>
                <c:pt idx="93">
                  <c:v>14.285723830996504</c:v>
                </c:pt>
                <c:pt idx="94">
                  <c:v>11.299409519850466</c:v>
                </c:pt>
                <c:pt idx="95">
                  <c:v>12.565253112248724</c:v>
                </c:pt>
                <c:pt idx="96">
                  <c:v>14.47265442514146</c:v>
                </c:pt>
                <c:pt idx="97">
                  <c:v>14.532260176222604</c:v>
                </c:pt>
                <c:pt idx="98">
                  <c:v>14.215319193979346</c:v>
                </c:pt>
                <c:pt idx="99">
                  <c:v>11.72010103185467</c:v>
                </c:pt>
                <c:pt idx="100">
                  <c:v>11.148839375205631</c:v>
                </c:pt>
                <c:pt idx="101">
                  <c:v>15.256295770476155</c:v>
                </c:pt>
                <c:pt idx="102">
                  <c:v>15.014793713050421</c:v>
                </c:pt>
                <c:pt idx="103">
                  <c:v>13.709599369174224</c:v>
                </c:pt>
                <c:pt idx="104">
                  <c:v>12.54485377684896</c:v>
                </c:pt>
                <c:pt idx="105">
                  <c:v>12.769373422855402</c:v>
                </c:pt>
                <c:pt idx="106">
                  <c:v>11.980708934167996</c:v>
                </c:pt>
                <c:pt idx="107">
                  <c:v>13.14226865420132</c:v>
                </c:pt>
                <c:pt idx="108">
                  <c:v>12.726854036079782</c:v>
                </c:pt>
                <c:pt idx="109">
                  <c:v>8.350615918767037</c:v>
                </c:pt>
                <c:pt idx="110">
                  <c:v>11.485704321051848</c:v>
                </c:pt>
                <c:pt idx="111">
                  <c:v>12.526059752383675</c:v>
                </c:pt>
                <c:pt idx="112">
                  <c:v>12.165185823743698</c:v>
                </c:pt>
                <c:pt idx="113">
                  <c:v>11.04223869892005</c:v>
                </c:pt>
                <c:pt idx="114">
                  <c:v>14.718761698125769</c:v>
                </c:pt>
                <c:pt idx="115">
                  <c:v>15.149340910703664</c:v>
                </c:pt>
                <c:pt idx="116">
                  <c:v>14.782959908384697</c:v>
                </c:pt>
                <c:pt idx="117">
                  <c:v>13.663688168302741</c:v>
                </c:pt>
                <c:pt idx="118">
                  <c:v>11.78090818267942</c:v>
                </c:pt>
                <c:pt idx="119">
                  <c:v>12.828942289199158</c:v>
                </c:pt>
                <c:pt idx="120">
                  <c:v>14.574602075039319</c:v>
                </c:pt>
                <c:pt idx="121">
                  <c:v>13.158943601877768</c:v>
                </c:pt>
                <c:pt idx="122">
                  <c:v>15.132862783311559</c:v>
                </c:pt>
                <c:pt idx="123">
                  <c:v>9.757413762479846</c:v>
                </c:pt>
                <c:pt idx="124">
                  <c:v>12.191733000507023</c:v>
                </c:pt>
                <c:pt idx="125">
                  <c:v>14.116690413391378</c:v>
                </c:pt>
                <c:pt idx="126">
                  <c:v>10.785333316679298</c:v>
                </c:pt>
                <c:pt idx="127">
                  <c:v>15.525111680570605</c:v>
                </c:pt>
                <c:pt idx="128">
                  <c:v>13.200958969937837</c:v>
                </c:pt>
                <c:pt idx="129">
                  <c:v>12.08203396483038</c:v>
                </c:pt>
                <c:pt idx="130">
                  <c:v>10.7804365347118</c:v>
                </c:pt>
                <c:pt idx="131">
                  <c:v>13.527051211501849</c:v>
                </c:pt>
                <c:pt idx="132">
                  <c:v>6.3606744711260319</c:v>
                </c:pt>
                <c:pt idx="133">
                  <c:v>15.632410185479602</c:v>
                </c:pt>
                <c:pt idx="134">
                  <c:v>15.703235327165217</c:v>
                </c:pt>
                <c:pt idx="135">
                  <c:v>15.315868141950373</c:v>
                </c:pt>
                <c:pt idx="136">
                  <c:v>15.152420720334877</c:v>
                </c:pt>
                <c:pt idx="137">
                  <c:v>15.130821823969788</c:v>
                </c:pt>
                <c:pt idx="138">
                  <c:v>13.81163384873765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9-FF4F-9677-AF4ABF984608}"/>
            </c:ext>
          </c:extLst>
        </c:ser>
        <c:ser>
          <c:idx val="1"/>
          <c:order val="1"/>
          <c:tx>
            <c:strRef>
              <c:f>'Regres. Comp'!$C$12</c:f>
              <c:strCache>
                <c:ptCount val="1"/>
                <c:pt idx="0">
                  <c:v>Quadratic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Comp'!$C$13:$C$321</c:f>
              <c:numCache>
                <c:formatCode>General</c:formatCode>
                <c:ptCount val="309"/>
                <c:pt idx="0">
                  <c:v>16.091346996392044</c:v>
                </c:pt>
                <c:pt idx="1">
                  <c:v>15.950104280176783</c:v>
                </c:pt>
                <c:pt idx="2">
                  <c:v>13.518752930996561</c:v>
                </c:pt>
                <c:pt idx="3">
                  <c:v>14.798569434072345</c:v>
                </c:pt>
                <c:pt idx="4">
                  <c:v>16.56962548475499</c:v>
                </c:pt>
                <c:pt idx="5">
                  <c:v>15.872794144201336</c:v>
                </c:pt>
                <c:pt idx="6">
                  <c:v>15.945893153853074</c:v>
                </c:pt>
                <c:pt idx="7">
                  <c:v>16.741604659610623</c:v>
                </c:pt>
                <c:pt idx="8">
                  <c:v>18.914555577730926</c:v>
                </c:pt>
                <c:pt idx="9">
                  <c:v>16.80944012197557</c:v>
                </c:pt>
                <c:pt idx="10">
                  <c:v>16.450812769668378</c:v>
                </c:pt>
                <c:pt idx="11">
                  <c:v>16.025741949269957</c:v>
                </c:pt>
                <c:pt idx="12">
                  <c:v>16.491153141752768</c:v>
                </c:pt>
                <c:pt idx="13">
                  <c:v>16.722431770607475</c:v>
                </c:pt>
                <c:pt idx="14">
                  <c:v>15.299266120180393</c:v>
                </c:pt>
                <c:pt idx="15">
                  <c:v>13.286538618534955</c:v>
                </c:pt>
                <c:pt idx="16">
                  <c:v>16.287491531942038</c:v>
                </c:pt>
                <c:pt idx="17">
                  <c:v>15.457758367525239</c:v>
                </c:pt>
                <c:pt idx="18">
                  <c:v>17.233093948174584</c:v>
                </c:pt>
                <c:pt idx="19">
                  <c:v>15.725470221953264</c:v>
                </c:pt>
                <c:pt idx="20">
                  <c:v>16.298792649042355</c:v>
                </c:pt>
                <c:pt idx="21">
                  <c:v>16.980916244927634</c:v>
                </c:pt>
                <c:pt idx="22">
                  <c:v>15.779919486930144</c:v>
                </c:pt>
                <c:pt idx="23">
                  <c:v>18.229763323762075</c:v>
                </c:pt>
                <c:pt idx="24">
                  <c:v>18.156188521582624</c:v>
                </c:pt>
                <c:pt idx="25">
                  <c:v>16.395318822182709</c:v>
                </c:pt>
                <c:pt idx="26">
                  <c:v>16.828565215074178</c:v>
                </c:pt>
                <c:pt idx="27">
                  <c:v>16.420052445063135</c:v>
                </c:pt>
                <c:pt idx="28">
                  <c:v>16.115819736486504</c:v>
                </c:pt>
                <c:pt idx="29">
                  <c:v>15.820932563600854</c:v>
                </c:pt>
                <c:pt idx="30">
                  <c:v>15.330237084360981</c:v>
                </c:pt>
                <c:pt idx="31">
                  <c:v>17.509185525655429</c:v>
                </c:pt>
                <c:pt idx="32">
                  <c:v>15.892322365332062</c:v>
                </c:pt>
                <c:pt idx="33">
                  <c:v>17.987710691206829</c:v>
                </c:pt>
                <c:pt idx="34">
                  <c:v>15.797211743806633</c:v>
                </c:pt>
                <c:pt idx="35">
                  <c:v>17.784785127227487</c:v>
                </c:pt>
                <c:pt idx="36">
                  <c:v>17.906894403787589</c:v>
                </c:pt>
                <c:pt idx="37">
                  <c:v>17.75781730839352</c:v>
                </c:pt>
                <c:pt idx="38">
                  <c:v>17.883984058750162</c:v>
                </c:pt>
                <c:pt idx="39">
                  <c:v>15.018636616519164</c:v>
                </c:pt>
                <c:pt idx="40">
                  <c:v>15.68669288675283</c:v>
                </c:pt>
                <c:pt idx="41">
                  <c:v>16.879869613427438</c:v>
                </c:pt>
                <c:pt idx="42">
                  <c:v>16.690002409441622</c:v>
                </c:pt>
                <c:pt idx="43">
                  <c:v>15.532088920075502</c:v>
                </c:pt>
                <c:pt idx="44">
                  <c:v>14.727423671435286</c:v>
                </c:pt>
                <c:pt idx="45">
                  <c:v>16.690611062662281</c:v>
                </c:pt>
                <c:pt idx="46">
                  <c:v>15.005748077221943</c:v>
                </c:pt>
                <c:pt idx="47">
                  <c:v>15.232393741432386</c:v>
                </c:pt>
                <c:pt idx="48">
                  <c:v>16.296837653214652</c:v>
                </c:pt>
                <c:pt idx="49">
                  <c:v>14.269672930747561</c:v>
                </c:pt>
                <c:pt idx="50">
                  <c:v>15.047552400219452</c:v>
                </c:pt>
                <c:pt idx="51">
                  <c:v>14.927437992523622</c:v>
                </c:pt>
                <c:pt idx="52">
                  <c:v>17.300406445857522</c:v>
                </c:pt>
                <c:pt idx="53">
                  <c:v>16.243719713000825</c:v>
                </c:pt>
                <c:pt idx="54">
                  <c:v>13.095612570949109</c:v>
                </c:pt>
                <c:pt idx="55">
                  <c:v>15.111012624158423</c:v>
                </c:pt>
                <c:pt idx="56">
                  <c:v>12.832192915907767</c:v>
                </c:pt>
                <c:pt idx="57">
                  <c:v>15.843808159513589</c:v>
                </c:pt>
                <c:pt idx="58">
                  <c:v>14.614952262868545</c:v>
                </c:pt>
                <c:pt idx="59">
                  <c:v>15.855971352508346</c:v>
                </c:pt>
                <c:pt idx="60">
                  <c:v>16.752001349747051</c:v>
                </c:pt>
                <c:pt idx="61">
                  <c:v>16.036423772399033</c:v>
                </c:pt>
                <c:pt idx="62">
                  <c:v>17.922995528289817</c:v>
                </c:pt>
                <c:pt idx="63">
                  <c:v>15.531430684773596</c:v>
                </c:pt>
                <c:pt idx="64">
                  <c:v>15.589994464197451</c:v>
                </c:pt>
                <c:pt idx="65">
                  <c:v>17.328847987172285</c:v>
                </c:pt>
                <c:pt idx="66">
                  <c:v>16.382500768918444</c:v>
                </c:pt>
                <c:pt idx="67">
                  <c:v>15.584638628318435</c:v>
                </c:pt>
                <c:pt idx="68">
                  <c:v>13.592036043236222</c:v>
                </c:pt>
                <c:pt idx="69">
                  <c:v>17.596158386794166</c:v>
                </c:pt>
                <c:pt idx="70">
                  <c:v>16.783403978254899</c:v>
                </c:pt>
                <c:pt idx="71">
                  <c:v>15.413944059038652</c:v>
                </c:pt>
                <c:pt idx="72">
                  <c:v>15.598029495936935</c:v>
                </c:pt>
                <c:pt idx="73">
                  <c:v>15.740433669474452</c:v>
                </c:pt>
                <c:pt idx="74">
                  <c:v>15.463913695844088</c:v>
                </c:pt>
                <c:pt idx="75">
                  <c:v>15.053693611221144</c:v>
                </c:pt>
                <c:pt idx="76">
                  <c:v>13.421701600644324</c:v>
                </c:pt>
                <c:pt idx="77">
                  <c:v>16.965756563322593</c:v>
                </c:pt>
                <c:pt idx="78">
                  <c:v>16.260274498973182</c:v>
                </c:pt>
                <c:pt idx="79">
                  <c:v>15.371627194571076</c:v>
                </c:pt>
                <c:pt idx="80">
                  <c:v>15.947430965433751</c:v>
                </c:pt>
                <c:pt idx="81">
                  <c:v>14.963541879657285</c:v>
                </c:pt>
                <c:pt idx="82">
                  <c:v>8.287512314472739</c:v>
                </c:pt>
                <c:pt idx="83">
                  <c:v>16.065590511853454</c:v>
                </c:pt>
                <c:pt idx="84">
                  <c:v>15.508574931401922</c:v>
                </c:pt>
                <c:pt idx="85">
                  <c:v>15.361215532247988</c:v>
                </c:pt>
                <c:pt idx="86">
                  <c:v>14.809852917040052</c:v>
                </c:pt>
                <c:pt idx="87">
                  <c:v>15.196851892406967</c:v>
                </c:pt>
                <c:pt idx="88">
                  <c:v>15.972584515179204</c:v>
                </c:pt>
                <c:pt idx="89">
                  <c:v>15.45833765541756</c:v>
                </c:pt>
                <c:pt idx="90">
                  <c:v>15.908060849637586</c:v>
                </c:pt>
                <c:pt idx="91">
                  <c:v>15.913779292235004</c:v>
                </c:pt>
                <c:pt idx="92">
                  <c:v>14.978140086461678</c:v>
                </c:pt>
                <c:pt idx="93">
                  <c:v>14.964656935123834</c:v>
                </c:pt>
                <c:pt idx="94">
                  <c:v>13.442556143638054</c:v>
                </c:pt>
                <c:pt idx="95">
                  <c:v>13.462683925830181</c:v>
                </c:pt>
                <c:pt idx="96">
                  <c:v>11.493093656143165</c:v>
                </c:pt>
                <c:pt idx="97">
                  <c:v>9.1217716443212602</c:v>
                </c:pt>
                <c:pt idx="98">
                  <c:v>15.525006840718799</c:v>
                </c:pt>
                <c:pt idx="99">
                  <c:v>14.083567158583078</c:v>
                </c:pt>
                <c:pt idx="100">
                  <c:v>11.104329041398175</c:v>
                </c:pt>
                <c:pt idx="101">
                  <c:v>15.545623428455928</c:v>
                </c:pt>
                <c:pt idx="102">
                  <c:v>14.876342750185469</c:v>
                </c:pt>
                <c:pt idx="103">
                  <c:v>11.083314927321887</c:v>
                </c:pt>
                <c:pt idx="104">
                  <c:v>13.594413406673148</c:v>
                </c:pt>
                <c:pt idx="105">
                  <c:v>11.983333392317144</c:v>
                </c:pt>
                <c:pt idx="106">
                  <c:v>7.1017865265260145</c:v>
                </c:pt>
                <c:pt idx="107">
                  <c:v>15.082006733442022</c:v>
                </c:pt>
                <c:pt idx="108">
                  <c:v>13.135652539853018</c:v>
                </c:pt>
                <c:pt idx="109">
                  <c:v>12.661006893348722</c:v>
                </c:pt>
                <c:pt idx="110">
                  <c:v>10.78531633854365</c:v>
                </c:pt>
                <c:pt idx="111">
                  <c:v>13.627343443703248</c:v>
                </c:pt>
                <c:pt idx="112">
                  <c:v>9.4611193291788087</c:v>
                </c:pt>
                <c:pt idx="113">
                  <c:v>11.604463924552642</c:v>
                </c:pt>
                <c:pt idx="114">
                  <c:v>9.9373203247026254</c:v>
                </c:pt>
                <c:pt idx="115">
                  <c:v>16.535212800397556</c:v>
                </c:pt>
                <c:pt idx="116">
                  <c:v>12.019860392192026</c:v>
                </c:pt>
                <c:pt idx="117">
                  <c:v>13.818244358293864</c:v>
                </c:pt>
                <c:pt idx="118">
                  <c:v>14.184454722404588</c:v>
                </c:pt>
                <c:pt idx="119">
                  <c:v>11.174557905844832</c:v>
                </c:pt>
                <c:pt idx="120">
                  <c:v>16.322617308142441</c:v>
                </c:pt>
                <c:pt idx="121">
                  <c:v>14.695175152138196</c:v>
                </c:pt>
                <c:pt idx="122">
                  <c:v>15.76514809988949</c:v>
                </c:pt>
                <c:pt idx="123">
                  <c:v>16.531253052585424</c:v>
                </c:pt>
                <c:pt idx="124">
                  <c:v>16.750719628125488</c:v>
                </c:pt>
                <c:pt idx="125">
                  <c:v>12.438389201479081</c:v>
                </c:pt>
                <c:pt idx="126">
                  <c:v>10.035967945676264</c:v>
                </c:pt>
                <c:pt idx="127">
                  <c:v>16.111992955324563</c:v>
                </c:pt>
                <c:pt idx="128">
                  <c:v>14.567041862888198</c:v>
                </c:pt>
                <c:pt idx="129">
                  <c:v>12.532450340233801</c:v>
                </c:pt>
                <c:pt idx="130">
                  <c:v>17.549851510708784</c:v>
                </c:pt>
                <c:pt idx="131">
                  <c:v>14.109853259223014</c:v>
                </c:pt>
                <c:pt idx="132">
                  <c:v>12.799639103405724</c:v>
                </c:pt>
                <c:pt idx="133">
                  <c:v>13.816435781920182</c:v>
                </c:pt>
                <c:pt idx="134">
                  <c:v>15.22917581940542</c:v>
                </c:pt>
                <c:pt idx="135">
                  <c:v>15.180477236353907</c:v>
                </c:pt>
                <c:pt idx="136">
                  <c:v>15.60682121047865</c:v>
                </c:pt>
                <c:pt idx="137">
                  <c:v>16.318771747848089</c:v>
                </c:pt>
                <c:pt idx="138">
                  <c:v>16.472682541567679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C19-FF4F-9677-AF4ABF984608}"/>
            </c:ext>
          </c:extLst>
        </c:ser>
        <c:ser>
          <c:idx val="2"/>
          <c:order val="2"/>
          <c:tx>
            <c:strRef>
              <c:f>'Regres. Comp'!$D$12</c:f>
              <c:strCache>
                <c:ptCount val="1"/>
                <c:pt idx="0">
                  <c:v>Cubic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Comp'!$D$13:$D$321</c:f>
              <c:numCache>
                <c:formatCode>General</c:formatCode>
                <c:ptCount val="309"/>
                <c:pt idx="0">
                  <c:v>15.592640020591743</c:v>
                </c:pt>
                <c:pt idx="1">
                  <c:v>17.870336481902058</c:v>
                </c:pt>
                <c:pt idx="2">
                  <c:v>14.655043125264376</c:v>
                </c:pt>
                <c:pt idx="3">
                  <c:v>15.060247079387668</c:v>
                </c:pt>
                <c:pt idx="4">
                  <c:v>15.747512945469046</c:v>
                </c:pt>
                <c:pt idx="5">
                  <c:v>16.012124420824623</c:v>
                </c:pt>
                <c:pt idx="6">
                  <c:v>15.580839160417645</c:v>
                </c:pt>
                <c:pt idx="7">
                  <c:v>16.767299506974322</c:v>
                </c:pt>
                <c:pt idx="8">
                  <c:v>18.069523081739657</c:v>
                </c:pt>
                <c:pt idx="9">
                  <c:v>16.509700030080936</c:v>
                </c:pt>
                <c:pt idx="10">
                  <c:v>17.052711133654412</c:v>
                </c:pt>
                <c:pt idx="11">
                  <c:v>19.414662685891148</c:v>
                </c:pt>
                <c:pt idx="12">
                  <c:v>16.579802392975928</c:v>
                </c:pt>
                <c:pt idx="13">
                  <c:v>18.373570142371971</c:v>
                </c:pt>
                <c:pt idx="14">
                  <c:v>15.448515978159016</c:v>
                </c:pt>
                <c:pt idx="15">
                  <c:v>14.565365344973074</c:v>
                </c:pt>
                <c:pt idx="16">
                  <c:v>16.392103485282341</c:v>
                </c:pt>
                <c:pt idx="17">
                  <c:v>15.887136485991707</c:v>
                </c:pt>
                <c:pt idx="18">
                  <c:v>17.757351544625035</c:v>
                </c:pt>
                <c:pt idx="19">
                  <c:v>16.941343995254297</c:v>
                </c:pt>
                <c:pt idx="20">
                  <c:v>14.724803228943886</c:v>
                </c:pt>
                <c:pt idx="21">
                  <c:v>18.203691245272914</c:v>
                </c:pt>
                <c:pt idx="22">
                  <c:v>16.115386993463957</c:v>
                </c:pt>
                <c:pt idx="23">
                  <c:v>18.587844437136557</c:v>
                </c:pt>
                <c:pt idx="24">
                  <c:v>19.269089310385269</c:v>
                </c:pt>
                <c:pt idx="25">
                  <c:v>14.925372217246878</c:v>
                </c:pt>
                <c:pt idx="26">
                  <c:v>18.159116942937253</c:v>
                </c:pt>
                <c:pt idx="27">
                  <c:v>17.276852822579986</c:v>
                </c:pt>
                <c:pt idx="28">
                  <c:v>16.365534521763745</c:v>
                </c:pt>
                <c:pt idx="29">
                  <c:v>17.134314795005047</c:v>
                </c:pt>
                <c:pt idx="30">
                  <c:v>16.558362523533855</c:v>
                </c:pt>
                <c:pt idx="31">
                  <c:v>17.892176521378094</c:v>
                </c:pt>
                <c:pt idx="32">
                  <c:v>16.988764470831899</c:v>
                </c:pt>
                <c:pt idx="33">
                  <c:v>17.229925303852131</c:v>
                </c:pt>
                <c:pt idx="34">
                  <c:v>18.955228952472144</c:v>
                </c:pt>
                <c:pt idx="35">
                  <c:v>18.679697937643233</c:v>
                </c:pt>
                <c:pt idx="36">
                  <c:v>17.617307720104474</c:v>
                </c:pt>
                <c:pt idx="37">
                  <c:v>16.680576691405086</c:v>
                </c:pt>
                <c:pt idx="38">
                  <c:v>18.396479901246803</c:v>
                </c:pt>
                <c:pt idx="39">
                  <c:v>15.911634785054495</c:v>
                </c:pt>
                <c:pt idx="40">
                  <c:v>16.053686952501899</c:v>
                </c:pt>
                <c:pt idx="41">
                  <c:v>18.458275570730489</c:v>
                </c:pt>
                <c:pt idx="42">
                  <c:v>16.789677858097207</c:v>
                </c:pt>
                <c:pt idx="43">
                  <c:v>13.594559262562525</c:v>
                </c:pt>
                <c:pt idx="44">
                  <c:v>14.480383547904109</c:v>
                </c:pt>
                <c:pt idx="45">
                  <c:v>16.891864207822138</c:v>
                </c:pt>
                <c:pt idx="46">
                  <c:v>14.733367094886701</c:v>
                </c:pt>
                <c:pt idx="47">
                  <c:v>15.067507157145673</c:v>
                </c:pt>
                <c:pt idx="48">
                  <c:v>16.864527559465873</c:v>
                </c:pt>
                <c:pt idx="49">
                  <c:v>15.278821545542042</c:v>
                </c:pt>
                <c:pt idx="50">
                  <c:v>16.583574632705812</c:v>
                </c:pt>
                <c:pt idx="51">
                  <c:v>17.008432040026921</c:v>
                </c:pt>
                <c:pt idx="52">
                  <c:v>17.302450281630168</c:v>
                </c:pt>
                <c:pt idx="53">
                  <c:v>14.751169484881567</c:v>
                </c:pt>
                <c:pt idx="54">
                  <c:v>11.785697055280695</c:v>
                </c:pt>
                <c:pt idx="55">
                  <c:v>7.7538428584834147</c:v>
                </c:pt>
                <c:pt idx="56">
                  <c:v>14.965922933282826</c:v>
                </c:pt>
                <c:pt idx="57">
                  <c:v>12.226518950327575</c:v>
                </c:pt>
                <c:pt idx="58">
                  <c:v>15.549845125879765</c:v>
                </c:pt>
                <c:pt idx="59">
                  <c:v>15.366418563419067</c:v>
                </c:pt>
                <c:pt idx="60">
                  <c:v>16.485188755339721</c:v>
                </c:pt>
                <c:pt idx="61">
                  <c:v>15.878189299527918</c:v>
                </c:pt>
                <c:pt idx="62">
                  <c:v>17.255886101979627</c:v>
                </c:pt>
                <c:pt idx="63">
                  <c:v>16.300169108792044</c:v>
                </c:pt>
                <c:pt idx="64">
                  <c:v>17.347543041526571</c:v>
                </c:pt>
                <c:pt idx="65">
                  <c:v>17.993021746543327</c:v>
                </c:pt>
                <c:pt idx="66">
                  <c:v>16.573843694454876</c:v>
                </c:pt>
                <c:pt idx="67">
                  <c:v>13.96016135650974</c:v>
                </c:pt>
                <c:pt idx="68">
                  <c:v>16.109457192476416</c:v>
                </c:pt>
                <c:pt idx="69">
                  <c:v>17.977920897800512</c:v>
                </c:pt>
                <c:pt idx="70">
                  <c:v>16.800329106278877</c:v>
                </c:pt>
                <c:pt idx="71">
                  <c:v>15.554216068990822</c:v>
                </c:pt>
                <c:pt idx="72">
                  <c:v>17.1266389738486</c:v>
                </c:pt>
                <c:pt idx="73">
                  <c:v>15.315534934475066</c:v>
                </c:pt>
                <c:pt idx="74">
                  <c:v>16.076447561266992</c:v>
                </c:pt>
                <c:pt idx="75">
                  <c:v>15.295481529195024</c:v>
                </c:pt>
                <c:pt idx="76">
                  <c:v>13.683760726258555</c:v>
                </c:pt>
                <c:pt idx="77">
                  <c:v>7.7819745265504734</c:v>
                </c:pt>
                <c:pt idx="78">
                  <c:v>15.786550645153529</c:v>
                </c:pt>
                <c:pt idx="79">
                  <c:v>15.838472670919673</c:v>
                </c:pt>
                <c:pt idx="80">
                  <c:v>13.557866116395004</c:v>
                </c:pt>
                <c:pt idx="81">
                  <c:v>14.915818738626337</c:v>
                </c:pt>
                <c:pt idx="82">
                  <c:v>16.113046782976358</c:v>
                </c:pt>
                <c:pt idx="83">
                  <c:v>16.742676538955891</c:v>
                </c:pt>
                <c:pt idx="84">
                  <c:v>17.02320535093132</c:v>
                </c:pt>
                <c:pt idx="85">
                  <c:v>17.622670577978102</c:v>
                </c:pt>
                <c:pt idx="86">
                  <c:v>16.570708242498473</c:v>
                </c:pt>
                <c:pt idx="87">
                  <c:v>14.214158540188651</c:v>
                </c:pt>
                <c:pt idx="88">
                  <c:v>16.984282156993196</c:v>
                </c:pt>
                <c:pt idx="89">
                  <c:v>13.762588943882854</c:v>
                </c:pt>
                <c:pt idx="90">
                  <c:v>15.001046083600615</c:v>
                </c:pt>
                <c:pt idx="91">
                  <c:v>16.573562164100931</c:v>
                </c:pt>
                <c:pt idx="92">
                  <c:v>15.640164108618514</c:v>
                </c:pt>
                <c:pt idx="93">
                  <c:v>14.050749001466523</c:v>
                </c:pt>
                <c:pt idx="94">
                  <c:v>15.397014166729862</c:v>
                </c:pt>
                <c:pt idx="95">
                  <c:v>14.99390335478259</c:v>
                </c:pt>
                <c:pt idx="96">
                  <c:v>15.110001773282193</c:v>
                </c:pt>
                <c:pt idx="97">
                  <c:v>10.934313284263292</c:v>
                </c:pt>
                <c:pt idx="98">
                  <c:v>12.788287880404209</c:v>
                </c:pt>
                <c:pt idx="99">
                  <c:v>13.706622596144367</c:v>
                </c:pt>
                <c:pt idx="100">
                  <c:v>12.077997653882989</c:v>
                </c:pt>
                <c:pt idx="101">
                  <c:v>16.051654651458829</c:v>
                </c:pt>
                <c:pt idx="102">
                  <c:v>14.80687419643618</c:v>
                </c:pt>
                <c:pt idx="103">
                  <c:v>13.144878058747858</c:v>
                </c:pt>
                <c:pt idx="104">
                  <c:v>12.106581647739503</c:v>
                </c:pt>
                <c:pt idx="105">
                  <c:v>7.9844056316764513</c:v>
                </c:pt>
                <c:pt idx="106">
                  <c:v>10.097215470831875</c:v>
                </c:pt>
                <c:pt idx="107">
                  <c:v>15.568546725477201</c:v>
                </c:pt>
                <c:pt idx="108">
                  <c:v>14.106437046634472</c:v>
                </c:pt>
                <c:pt idx="109">
                  <c:v>12.674958593084472</c:v>
                </c:pt>
                <c:pt idx="110">
                  <c:v>12.290318606346917</c:v>
                </c:pt>
                <c:pt idx="111">
                  <c:v>14.100932177748273</c:v>
                </c:pt>
                <c:pt idx="112">
                  <c:v>12.413662739228595</c:v>
                </c:pt>
                <c:pt idx="113">
                  <c:v>12.946669822549055</c:v>
                </c:pt>
                <c:pt idx="114">
                  <c:v>11.151344923538893</c:v>
                </c:pt>
                <c:pt idx="115">
                  <c:v>17.478258817370701</c:v>
                </c:pt>
                <c:pt idx="116">
                  <c:v>14.669635875771025</c:v>
                </c:pt>
                <c:pt idx="117">
                  <c:v>13.601140911853285</c:v>
                </c:pt>
                <c:pt idx="118">
                  <c:v>15.348842985252254</c:v>
                </c:pt>
                <c:pt idx="119">
                  <c:v>12.681395861103038</c:v>
                </c:pt>
                <c:pt idx="120">
                  <c:v>12.033734932930964</c:v>
                </c:pt>
                <c:pt idx="121">
                  <c:v>13.233917120723392</c:v>
                </c:pt>
                <c:pt idx="122">
                  <c:v>15.097822232209079</c:v>
                </c:pt>
                <c:pt idx="123">
                  <c:v>13.020463910841816</c:v>
                </c:pt>
                <c:pt idx="124">
                  <c:v>15.3983307933366</c:v>
                </c:pt>
                <c:pt idx="125">
                  <c:v>10.842407917283127</c:v>
                </c:pt>
                <c:pt idx="126">
                  <c:v>7.6592294635570592</c:v>
                </c:pt>
                <c:pt idx="127">
                  <c:v>17.317824048419673</c:v>
                </c:pt>
                <c:pt idx="128">
                  <c:v>15.821490725111722</c:v>
                </c:pt>
                <c:pt idx="129">
                  <c:v>10.538991166358725</c:v>
                </c:pt>
                <c:pt idx="130">
                  <c:v>11.068988413451921</c:v>
                </c:pt>
                <c:pt idx="131">
                  <c:v>14.678609762181033</c:v>
                </c:pt>
                <c:pt idx="132">
                  <c:v>7.7024856419059944</c:v>
                </c:pt>
                <c:pt idx="133">
                  <c:v>13.827078383528264</c:v>
                </c:pt>
                <c:pt idx="134">
                  <c:v>15.874538569451362</c:v>
                </c:pt>
                <c:pt idx="135">
                  <c:v>16.016960506480864</c:v>
                </c:pt>
                <c:pt idx="136">
                  <c:v>16.041171809761913</c:v>
                </c:pt>
                <c:pt idx="137">
                  <c:v>13.177896264755015</c:v>
                </c:pt>
                <c:pt idx="138">
                  <c:v>14.731296335363368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C19-FF4F-9677-AF4ABF984608}"/>
            </c:ext>
          </c:extLst>
        </c:ser>
        <c:ser>
          <c:idx val="3"/>
          <c:order val="3"/>
          <c:tx>
            <c:strRef>
              <c:f>'Regres. Comp'!$E$12</c:f>
              <c:strCache>
                <c:ptCount val="1"/>
                <c:pt idx="0">
                  <c:v>Quartic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Comp'!$E$13:$E$321</c:f>
              <c:numCache>
                <c:formatCode>General</c:formatCode>
                <c:ptCount val="309"/>
                <c:pt idx="0">
                  <c:v>16.62242811703187</c:v>
                </c:pt>
                <c:pt idx="1">
                  <c:v>18.366828787337944</c:v>
                </c:pt>
                <c:pt idx="2">
                  <c:v>15.165026652109059</c:v>
                </c:pt>
                <c:pt idx="3">
                  <c:v>16.216421337153836</c:v>
                </c:pt>
                <c:pt idx="4">
                  <c:v>17.227238566916522</c:v>
                </c:pt>
                <c:pt idx="5">
                  <c:v>16.834360720893983</c:v>
                </c:pt>
                <c:pt idx="6">
                  <c:v>17.049915936935289</c:v>
                </c:pt>
                <c:pt idx="7">
                  <c:v>17.450475788372728</c:v>
                </c:pt>
                <c:pt idx="8">
                  <c:v>18.846341984969094</c:v>
                </c:pt>
                <c:pt idx="9">
                  <c:v>16.252509322176692</c:v>
                </c:pt>
                <c:pt idx="10">
                  <c:v>17.05249432166141</c:v>
                </c:pt>
                <c:pt idx="11">
                  <c:v>18.283947692228018</c:v>
                </c:pt>
                <c:pt idx="12">
                  <c:v>16.801251451100065</c:v>
                </c:pt>
                <c:pt idx="13">
                  <c:v>19.151468360544989</c:v>
                </c:pt>
                <c:pt idx="14">
                  <c:v>17.432133730728843</c:v>
                </c:pt>
                <c:pt idx="15">
                  <c:v>17.843390253169709</c:v>
                </c:pt>
                <c:pt idx="16">
                  <c:v>17.378705631564674</c:v>
                </c:pt>
                <c:pt idx="17">
                  <c:v>16.052000194846752</c:v>
                </c:pt>
                <c:pt idx="18">
                  <c:v>17.238449357224503</c:v>
                </c:pt>
                <c:pt idx="19">
                  <c:v>17.563665309820347</c:v>
                </c:pt>
                <c:pt idx="20">
                  <c:v>17.716966321116356</c:v>
                </c:pt>
                <c:pt idx="21">
                  <c:v>18.953850311324342</c:v>
                </c:pt>
                <c:pt idx="22">
                  <c:v>16.976105989437507</c:v>
                </c:pt>
                <c:pt idx="23">
                  <c:v>18.016662338174086</c:v>
                </c:pt>
                <c:pt idx="24">
                  <c:v>18.56829745380125</c:v>
                </c:pt>
                <c:pt idx="25">
                  <c:v>16.392057868663244</c:v>
                </c:pt>
                <c:pt idx="26">
                  <c:v>18.646996081750846</c:v>
                </c:pt>
                <c:pt idx="27">
                  <c:v>17.25225229197817</c:v>
                </c:pt>
                <c:pt idx="28">
                  <c:v>17.334005496615429</c:v>
                </c:pt>
                <c:pt idx="29">
                  <c:v>17.674291960569828</c:v>
                </c:pt>
                <c:pt idx="30">
                  <c:v>16.460171077450532</c:v>
                </c:pt>
                <c:pt idx="31">
                  <c:v>18.616346577010709</c:v>
                </c:pt>
                <c:pt idx="32">
                  <c:v>16.534600424305808</c:v>
                </c:pt>
                <c:pt idx="33">
                  <c:v>18.351615374826554</c:v>
                </c:pt>
                <c:pt idx="34">
                  <c:v>14.822760977321538</c:v>
                </c:pt>
                <c:pt idx="35">
                  <c:v>18.88583328063649</c:v>
                </c:pt>
                <c:pt idx="36">
                  <c:v>17.632944952267891</c:v>
                </c:pt>
                <c:pt idx="37">
                  <c:v>17.576143022343384</c:v>
                </c:pt>
                <c:pt idx="38">
                  <c:v>19.343534394782868</c:v>
                </c:pt>
                <c:pt idx="39">
                  <c:v>15.959086796916402</c:v>
                </c:pt>
                <c:pt idx="40">
                  <c:v>16.844114084155276</c:v>
                </c:pt>
                <c:pt idx="41">
                  <c:v>17.008926978799895</c:v>
                </c:pt>
                <c:pt idx="42">
                  <c:v>16.635408811207984</c:v>
                </c:pt>
                <c:pt idx="43">
                  <c:v>14.847341415667433</c:v>
                </c:pt>
                <c:pt idx="44">
                  <c:v>15.770721868660026</c:v>
                </c:pt>
                <c:pt idx="45">
                  <c:v>17.173245527065571</c:v>
                </c:pt>
                <c:pt idx="46">
                  <c:v>15.550709228696451</c:v>
                </c:pt>
                <c:pt idx="47">
                  <c:v>15.216799584149669</c:v>
                </c:pt>
                <c:pt idx="48">
                  <c:v>17.247048266785303</c:v>
                </c:pt>
                <c:pt idx="49">
                  <c:v>15.775750517241361</c:v>
                </c:pt>
                <c:pt idx="50">
                  <c:v>15.787789320622208</c:v>
                </c:pt>
                <c:pt idx="51">
                  <c:v>17.084954068261435</c:v>
                </c:pt>
                <c:pt idx="52">
                  <c:v>17.613084078563254</c:v>
                </c:pt>
                <c:pt idx="53">
                  <c:v>14.871423449155026</c:v>
                </c:pt>
                <c:pt idx="54">
                  <c:v>11.978378324821382</c:v>
                </c:pt>
                <c:pt idx="55">
                  <c:v>14.751077244802543</c:v>
                </c:pt>
                <c:pt idx="56">
                  <c:v>9.5187923654583066</c:v>
                </c:pt>
                <c:pt idx="57">
                  <c:v>15.782699330640847</c:v>
                </c:pt>
                <c:pt idx="58">
                  <c:v>14.775690940922937</c:v>
                </c:pt>
                <c:pt idx="59">
                  <c:v>14.824167650049608</c:v>
                </c:pt>
                <c:pt idx="60">
                  <c:v>16.340777067897047</c:v>
                </c:pt>
                <c:pt idx="61">
                  <c:v>18.094159879231057</c:v>
                </c:pt>
                <c:pt idx="62">
                  <c:v>18.338286723802604</c:v>
                </c:pt>
                <c:pt idx="63">
                  <c:v>16.997114345304485</c:v>
                </c:pt>
                <c:pt idx="64">
                  <c:v>16.882259532685708</c:v>
                </c:pt>
                <c:pt idx="65">
                  <c:v>17.584030397757306</c:v>
                </c:pt>
                <c:pt idx="66">
                  <c:v>16.150891900305194</c:v>
                </c:pt>
                <c:pt idx="67">
                  <c:v>12.987405965056132</c:v>
                </c:pt>
                <c:pt idx="68">
                  <c:v>15.986411100687324</c:v>
                </c:pt>
                <c:pt idx="69">
                  <c:v>17.036645945185281</c:v>
                </c:pt>
                <c:pt idx="70">
                  <c:v>17.595095734934052</c:v>
                </c:pt>
                <c:pt idx="71">
                  <c:v>15.062239397669714</c:v>
                </c:pt>
                <c:pt idx="72">
                  <c:v>14.02367226039393</c:v>
                </c:pt>
                <c:pt idx="73">
                  <c:v>13.846975231645105</c:v>
                </c:pt>
                <c:pt idx="74">
                  <c:v>15.340761767036152</c:v>
                </c:pt>
                <c:pt idx="75">
                  <c:v>15.618902944363288</c:v>
                </c:pt>
                <c:pt idx="76">
                  <c:v>13.334492244228532</c:v>
                </c:pt>
                <c:pt idx="77">
                  <c:v>16.029566018160267</c:v>
                </c:pt>
                <c:pt idx="78">
                  <c:v>18.669814296331698</c:v>
                </c:pt>
                <c:pt idx="79">
                  <c:v>12.981936481556058</c:v>
                </c:pt>
                <c:pt idx="80">
                  <c:v>16.039756069281491</c:v>
                </c:pt>
                <c:pt idx="81">
                  <c:v>13.732731812869007</c:v>
                </c:pt>
                <c:pt idx="82">
                  <c:v>14.600941606306417</c:v>
                </c:pt>
                <c:pt idx="83">
                  <c:v>16.611324359057484</c:v>
                </c:pt>
                <c:pt idx="84">
                  <c:v>16.563832062233725</c:v>
                </c:pt>
                <c:pt idx="85">
                  <c:v>5.9189016464197506</c:v>
                </c:pt>
                <c:pt idx="86">
                  <c:v>16.913834361461578</c:v>
                </c:pt>
                <c:pt idx="87">
                  <c:v>15.01468264742552</c:v>
                </c:pt>
                <c:pt idx="88">
                  <c:v>16.195936279135388</c:v>
                </c:pt>
                <c:pt idx="89">
                  <c:v>15.862525146748082</c:v>
                </c:pt>
                <c:pt idx="90">
                  <c:v>16.18959015294627</c:v>
                </c:pt>
                <c:pt idx="91">
                  <c:v>16.488199673421516</c:v>
                </c:pt>
                <c:pt idx="92">
                  <c:v>14.574985538886251</c:v>
                </c:pt>
                <c:pt idx="93">
                  <c:v>11.914617340884657</c:v>
                </c:pt>
                <c:pt idx="94">
                  <c:v>8.8306357715748707</c:v>
                </c:pt>
                <c:pt idx="95">
                  <c:v>13.022574471125331</c:v>
                </c:pt>
                <c:pt idx="96">
                  <c:v>13.283831975035126</c:v>
                </c:pt>
                <c:pt idx="97">
                  <c:v>10.228091826515106</c:v>
                </c:pt>
                <c:pt idx="98">
                  <c:v>14.838054572036972</c:v>
                </c:pt>
                <c:pt idx="99">
                  <c:v>14.299345128034274</c:v>
                </c:pt>
                <c:pt idx="100">
                  <c:v>12.352252064572097</c:v>
                </c:pt>
                <c:pt idx="101">
                  <c:v>16.057082631349555</c:v>
                </c:pt>
                <c:pt idx="102">
                  <c:v>15.758916130567668</c:v>
                </c:pt>
                <c:pt idx="103">
                  <c:v>13.514103571898371</c:v>
                </c:pt>
                <c:pt idx="104">
                  <c:v>8.6981286145192307</c:v>
                </c:pt>
                <c:pt idx="105">
                  <c:v>10.570529265782451</c:v>
                </c:pt>
                <c:pt idx="106">
                  <c:v>10.431671858913772</c:v>
                </c:pt>
                <c:pt idx="107">
                  <c:v>11.988524807729796</c:v>
                </c:pt>
                <c:pt idx="108">
                  <c:v>13.247857872273684</c:v>
                </c:pt>
                <c:pt idx="109">
                  <c:v>9.8503492077014556</c:v>
                </c:pt>
                <c:pt idx="110">
                  <c:v>9.3822266848620153</c:v>
                </c:pt>
                <c:pt idx="111">
                  <c:v>14.208089263645448</c:v>
                </c:pt>
                <c:pt idx="112">
                  <c:v>11.994437710151653</c:v>
                </c:pt>
                <c:pt idx="113">
                  <c:v>11.533136707827554</c:v>
                </c:pt>
                <c:pt idx="114">
                  <c:v>16.297919214801809</c:v>
                </c:pt>
                <c:pt idx="115">
                  <c:v>15.190534369665956</c:v>
                </c:pt>
                <c:pt idx="116">
                  <c:v>14.816273802295287</c:v>
                </c:pt>
                <c:pt idx="117">
                  <c:v>15.20855173755317</c:v>
                </c:pt>
                <c:pt idx="118">
                  <c:v>14.637879344223377</c:v>
                </c:pt>
                <c:pt idx="119">
                  <c:v>12.332657516279339</c:v>
                </c:pt>
                <c:pt idx="120">
                  <c:v>14.509713867622601</c:v>
                </c:pt>
                <c:pt idx="121">
                  <c:v>12.107779530640697</c:v>
                </c:pt>
                <c:pt idx="122">
                  <c:v>13.550635488157024</c:v>
                </c:pt>
                <c:pt idx="123">
                  <c:v>13.347308178352044</c:v>
                </c:pt>
                <c:pt idx="124">
                  <c:v>8.4187683320221574</c:v>
                </c:pt>
                <c:pt idx="125">
                  <c:v>9.1148883446319644</c:v>
                </c:pt>
                <c:pt idx="126">
                  <c:v>7.8247044819805955</c:v>
                </c:pt>
                <c:pt idx="127">
                  <c:v>16.141535803306834</c:v>
                </c:pt>
                <c:pt idx="128">
                  <c:v>16.575282724254617</c:v>
                </c:pt>
                <c:pt idx="129">
                  <c:v>9.3945871859974908</c:v>
                </c:pt>
                <c:pt idx="130">
                  <c:v>15.5343278340893</c:v>
                </c:pt>
                <c:pt idx="131">
                  <c:v>15.630661742121337</c:v>
                </c:pt>
                <c:pt idx="132">
                  <c:v>6.542222290978815</c:v>
                </c:pt>
                <c:pt idx="133">
                  <c:v>15.544421175984729</c:v>
                </c:pt>
                <c:pt idx="134">
                  <c:v>9.8862467847159028</c:v>
                </c:pt>
                <c:pt idx="135">
                  <c:v>16.550698507749487</c:v>
                </c:pt>
                <c:pt idx="136">
                  <c:v>14.51923002271044</c:v>
                </c:pt>
                <c:pt idx="137">
                  <c:v>15.349819535779897</c:v>
                </c:pt>
                <c:pt idx="138">
                  <c:v>13.844114221106139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C19-FF4F-9677-AF4ABF984608}"/>
            </c:ext>
          </c:extLst>
        </c:ser>
        <c:ser>
          <c:idx val="4"/>
          <c:order val="4"/>
          <c:tx>
            <c:strRef>
              <c:f>'Regres. Comp'!$F$12</c:f>
              <c:strCache>
                <c:ptCount val="1"/>
                <c:pt idx="0">
                  <c:v>Quintic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Comp'!$F$13:$F$321</c:f>
              <c:numCache>
                <c:formatCode>General</c:formatCode>
                <c:ptCount val="309"/>
                <c:pt idx="0">
                  <c:v>16.797150057250356</c:v>
                </c:pt>
                <c:pt idx="1">
                  <c:v>17.952491373494937</c:v>
                </c:pt>
                <c:pt idx="2">
                  <c:v>15.585491923556896</c:v>
                </c:pt>
                <c:pt idx="3">
                  <c:v>15.920513412523</c:v>
                </c:pt>
                <c:pt idx="4">
                  <c:v>17.038592922015965</c:v>
                </c:pt>
                <c:pt idx="5">
                  <c:v>16.596151853905496</c:v>
                </c:pt>
                <c:pt idx="6">
                  <c:v>17.313839886486676</c:v>
                </c:pt>
                <c:pt idx="7">
                  <c:v>18.042872972768357</c:v>
                </c:pt>
                <c:pt idx="8">
                  <c:v>19.121749479241508</c:v>
                </c:pt>
                <c:pt idx="9">
                  <c:v>16.202293163218993</c:v>
                </c:pt>
                <c:pt idx="10">
                  <c:v>15.678252760680088</c:v>
                </c:pt>
                <c:pt idx="11">
                  <c:v>18.435405376300245</c:v>
                </c:pt>
                <c:pt idx="12">
                  <c:v>17.062038991268498</c:v>
                </c:pt>
                <c:pt idx="13">
                  <c:v>19.085664161217309</c:v>
                </c:pt>
                <c:pt idx="14">
                  <c:v>16.92774875134813</c:v>
                </c:pt>
                <c:pt idx="15">
                  <c:v>17.975025552136348</c:v>
                </c:pt>
                <c:pt idx="16">
                  <c:v>16.984803300068677</c:v>
                </c:pt>
                <c:pt idx="17">
                  <c:v>15.858201216572754</c:v>
                </c:pt>
                <c:pt idx="18">
                  <c:v>18.007267141240966</c:v>
                </c:pt>
                <c:pt idx="19">
                  <c:v>17.865401471962233</c:v>
                </c:pt>
                <c:pt idx="20">
                  <c:v>17.052575206521166</c:v>
                </c:pt>
                <c:pt idx="21">
                  <c:v>18.886602022161195</c:v>
                </c:pt>
                <c:pt idx="22">
                  <c:v>16.405890789074316</c:v>
                </c:pt>
                <c:pt idx="23">
                  <c:v>19.558834574347518</c:v>
                </c:pt>
                <c:pt idx="24">
                  <c:v>18.524177642470903</c:v>
                </c:pt>
                <c:pt idx="25">
                  <c:v>16.912935210430025</c:v>
                </c:pt>
                <c:pt idx="26">
                  <c:v>17.868579936086888</c:v>
                </c:pt>
                <c:pt idx="27">
                  <c:v>17.859836708618136</c:v>
                </c:pt>
                <c:pt idx="28">
                  <c:v>17.683641109192763</c:v>
                </c:pt>
                <c:pt idx="29">
                  <c:v>17.563455442841956</c:v>
                </c:pt>
                <c:pt idx="30">
                  <c:v>15.270739946324575</c:v>
                </c:pt>
                <c:pt idx="31">
                  <c:v>17.754942172484917</c:v>
                </c:pt>
                <c:pt idx="32">
                  <c:v>17.015811303518966</c:v>
                </c:pt>
                <c:pt idx="33">
                  <c:v>18.001008723647463</c:v>
                </c:pt>
                <c:pt idx="34">
                  <c:v>16.0675052938116</c:v>
                </c:pt>
                <c:pt idx="35">
                  <c:v>17.750732032822427</c:v>
                </c:pt>
                <c:pt idx="36">
                  <c:v>18.278015704031731</c:v>
                </c:pt>
                <c:pt idx="37">
                  <c:v>17.889017657363656</c:v>
                </c:pt>
                <c:pt idx="38">
                  <c:v>18.342118204630534</c:v>
                </c:pt>
                <c:pt idx="39">
                  <c:v>16.875458985966123</c:v>
                </c:pt>
                <c:pt idx="40">
                  <c:v>16.460321171254332</c:v>
                </c:pt>
                <c:pt idx="41">
                  <c:v>18.366611169933023</c:v>
                </c:pt>
                <c:pt idx="42">
                  <c:v>16.687523223275665</c:v>
                </c:pt>
                <c:pt idx="43">
                  <c:v>16.733880390418388</c:v>
                </c:pt>
                <c:pt idx="44">
                  <c:v>15.567229805954611</c:v>
                </c:pt>
                <c:pt idx="45">
                  <c:v>15.391685731993499</c:v>
                </c:pt>
                <c:pt idx="46">
                  <c:v>15.585554810320327</c:v>
                </c:pt>
                <c:pt idx="47">
                  <c:v>14.915514031558006</c:v>
                </c:pt>
                <c:pt idx="48">
                  <c:v>17.894323556509811</c:v>
                </c:pt>
                <c:pt idx="49">
                  <c:v>14.030686537754761</c:v>
                </c:pt>
                <c:pt idx="50">
                  <c:v>15.899190981333325</c:v>
                </c:pt>
                <c:pt idx="51">
                  <c:v>17.154278939894873</c:v>
                </c:pt>
                <c:pt idx="52">
                  <c:v>17.319089071701036</c:v>
                </c:pt>
                <c:pt idx="53">
                  <c:v>8.820180979658387</c:v>
                </c:pt>
                <c:pt idx="54">
                  <c:v>13.472621579107447</c:v>
                </c:pt>
                <c:pt idx="55">
                  <c:v>16.51435188082533</c:v>
                </c:pt>
                <c:pt idx="56">
                  <c:v>8.3247702370482468</c:v>
                </c:pt>
                <c:pt idx="57">
                  <c:v>13.998550619714138</c:v>
                </c:pt>
                <c:pt idx="58">
                  <c:v>16.014593446449986</c:v>
                </c:pt>
                <c:pt idx="59">
                  <c:v>16.067935882745882</c:v>
                </c:pt>
                <c:pt idx="60">
                  <c:v>14.586171622410301</c:v>
                </c:pt>
                <c:pt idx="61">
                  <c:v>17.35022933818049</c:v>
                </c:pt>
                <c:pt idx="62">
                  <c:v>17.753908448450016</c:v>
                </c:pt>
                <c:pt idx="63">
                  <c:v>16.721857012317372</c:v>
                </c:pt>
                <c:pt idx="64">
                  <c:v>16.945242403964809</c:v>
                </c:pt>
                <c:pt idx="65">
                  <c:v>18.240314830383554</c:v>
                </c:pt>
                <c:pt idx="66">
                  <c:v>17.682368636892459</c:v>
                </c:pt>
                <c:pt idx="67">
                  <c:v>13.744170478790966</c:v>
                </c:pt>
                <c:pt idx="68">
                  <c:v>17.050840994849363</c:v>
                </c:pt>
                <c:pt idx="69">
                  <c:v>17.972141909591141</c:v>
                </c:pt>
                <c:pt idx="70">
                  <c:v>17.710194389606531</c:v>
                </c:pt>
                <c:pt idx="71">
                  <c:v>17.263569418332079</c:v>
                </c:pt>
                <c:pt idx="72">
                  <c:v>15.866489771538898</c:v>
                </c:pt>
                <c:pt idx="73">
                  <c:v>15.53144058671735</c:v>
                </c:pt>
                <c:pt idx="74">
                  <c:v>15.600740341143755</c:v>
                </c:pt>
                <c:pt idx="75">
                  <c:v>16.082783952330075</c:v>
                </c:pt>
                <c:pt idx="76">
                  <c:v>11.623973079255508</c:v>
                </c:pt>
                <c:pt idx="77">
                  <c:v>17.072938841044742</c:v>
                </c:pt>
                <c:pt idx="78">
                  <c:v>17.389389403667899</c:v>
                </c:pt>
                <c:pt idx="79">
                  <c:v>9.0157787556524855</c:v>
                </c:pt>
                <c:pt idx="80">
                  <c:v>17.451870071015303</c:v>
                </c:pt>
                <c:pt idx="81">
                  <c:v>14.577650670065525</c:v>
                </c:pt>
                <c:pt idx="82">
                  <c:v>12.594069425850396</c:v>
                </c:pt>
                <c:pt idx="83">
                  <c:v>16.849421190433084</c:v>
                </c:pt>
                <c:pt idx="84">
                  <c:v>17.442703530922579</c:v>
                </c:pt>
                <c:pt idx="85">
                  <c:v>8.819999298960159</c:v>
                </c:pt>
                <c:pt idx="86">
                  <c:v>17.051929427717468</c:v>
                </c:pt>
                <c:pt idx="87">
                  <c:v>15.336300002307237</c:v>
                </c:pt>
                <c:pt idx="88">
                  <c:v>16.154087841830755</c:v>
                </c:pt>
                <c:pt idx="89">
                  <c:v>15.327436219237395</c:v>
                </c:pt>
                <c:pt idx="90">
                  <c:v>15.914878942829077</c:v>
                </c:pt>
                <c:pt idx="91">
                  <c:v>17.189791568254346</c:v>
                </c:pt>
                <c:pt idx="92">
                  <c:v>14.354439699292913</c:v>
                </c:pt>
                <c:pt idx="93">
                  <c:v>11.695636503733841</c:v>
                </c:pt>
                <c:pt idx="94">
                  <c:v>9.1204021459634266</c:v>
                </c:pt>
                <c:pt idx="95">
                  <c:v>12.291899227868905</c:v>
                </c:pt>
                <c:pt idx="96">
                  <c:v>14.740101795717985</c:v>
                </c:pt>
                <c:pt idx="97">
                  <c:v>11.846642460206203</c:v>
                </c:pt>
                <c:pt idx="98">
                  <c:v>14.797988241151543</c:v>
                </c:pt>
                <c:pt idx="99">
                  <c:v>13.428165089706535</c:v>
                </c:pt>
                <c:pt idx="100">
                  <c:v>13.778905273086693</c:v>
                </c:pt>
                <c:pt idx="101">
                  <c:v>15.747312942238555</c:v>
                </c:pt>
                <c:pt idx="102">
                  <c:v>15.607101875776706</c:v>
                </c:pt>
                <c:pt idx="103">
                  <c:v>14.480787333496952</c:v>
                </c:pt>
                <c:pt idx="104">
                  <c:v>8.6451052502756234</c:v>
                </c:pt>
                <c:pt idx="105">
                  <c:v>10.470268402415456</c:v>
                </c:pt>
                <c:pt idx="106">
                  <c:v>8.4765693145660261</c:v>
                </c:pt>
                <c:pt idx="107">
                  <c:v>12.486233377605744</c:v>
                </c:pt>
                <c:pt idx="108">
                  <c:v>13.423398603128584</c:v>
                </c:pt>
                <c:pt idx="109">
                  <c:v>11.077183591399399</c:v>
                </c:pt>
                <c:pt idx="110">
                  <c:v>9.3826582360565496</c:v>
                </c:pt>
                <c:pt idx="111">
                  <c:v>15.108005667785736</c:v>
                </c:pt>
                <c:pt idx="112">
                  <c:v>11.887246002092853</c:v>
                </c:pt>
                <c:pt idx="113">
                  <c:v>12.125051440215707</c:v>
                </c:pt>
                <c:pt idx="114">
                  <c:v>16.542517040822755</c:v>
                </c:pt>
                <c:pt idx="115">
                  <c:v>16.039807035571691</c:v>
                </c:pt>
                <c:pt idx="116">
                  <c:v>16.256006885397166</c:v>
                </c:pt>
                <c:pt idx="117">
                  <c:v>7.2409693062341809</c:v>
                </c:pt>
                <c:pt idx="118">
                  <c:v>15.88511472173313</c:v>
                </c:pt>
                <c:pt idx="119">
                  <c:v>12.488297346720062</c:v>
                </c:pt>
                <c:pt idx="120">
                  <c:v>15.996130297773758</c:v>
                </c:pt>
                <c:pt idx="121">
                  <c:v>10.742613697897538</c:v>
                </c:pt>
                <c:pt idx="122">
                  <c:v>12.322331038151887</c:v>
                </c:pt>
                <c:pt idx="123">
                  <c:v>14.507350764353415</c:v>
                </c:pt>
                <c:pt idx="124">
                  <c:v>13.748484198691317</c:v>
                </c:pt>
                <c:pt idx="125">
                  <c:v>7.2184587548614774</c:v>
                </c:pt>
                <c:pt idx="126">
                  <c:v>12.882948106592142</c:v>
                </c:pt>
                <c:pt idx="127">
                  <c:v>17.595789671845051</c:v>
                </c:pt>
                <c:pt idx="128">
                  <c:v>15.449987706037748</c:v>
                </c:pt>
                <c:pt idx="129">
                  <c:v>6.8117422389938493</c:v>
                </c:pt>
                <c:pt idx="130">
                  <c:v>13.080445904557944</c:v>
                </c:pt>
                <c:pt idx="131">
                  <c:v>8.370423663531124</c:v>
                </c:pt>
                <c:pt idx="132">
                  <c:v>9.1081424923235481</c:v>
                </c:pt>
                <c:pt idx="133">
                  <c:v>15.16724368571202</c:v>
                </c:pt>
                <c:pt idx="134">
                  <c:v>12.988882024908586</c:v>
                </c:pt>
                <c:pt idx="135">
                  <c:v>16.703081953852372</c:v>
                </c:pt>
                <c:pt idx="136">
                  <c:v>15.396953548952807</c:v>
                </c:pt>
                <c:pt idx="137">
                  <c:v>15.986431234023071</c:v>
                </c:pt>
                <c:pt idx="138">
                  <c:v>17.863726006074867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C19-FF4F-9677-AF4ABF984608}"/>
            </c:ext>
          </c:extLst>
        </c:ser>
        <c:ser>
          <c:idx val="5"/>
          <c:order val="5"/>
          <c:tx>
            <c:strRef>
              <c:f>'Regres. Comp'!$G$12</c:f>
              <c:strCache>
                <c:ptCount val="1"/>
                <c:pt idx="0">
                  <c:v>Sextic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Comp'!$G$13:$G$321</c:f>
              <c:numCache>
                <c:formatCode>General</c:formatCode>
                <c:ptCount val="309"/>
                <c:pt idx="0">
                  <c:v>17.214177010201499</c:v>
                </c:pt>
                <c:pt idx="1">
                  <c:v>18.516646892244985</c:v>
                </c:pt>
                <c:pt idx="2">
                  <c:v>15.26693065684027</c:v>
                </c:pt>
                <c:pt idx="3">
                  <c:v>15.351366401093294</c:v>
                </c:pt>
                <c:pt idx="4">
                  <c:v>17.546345359770658</c:v>
                </c:pt>
                <c:pt idx="5">
                  <c:v>16.178658830792866</c:v>
                </c:pt>
                <c:pt idx="6">
                  <c:v>16.491966170047295</c:v>
                </c:pt>
                <c:pt idx="7">
                  <c:v>17.962208693969512</c:v>
                </c:pt>
                <c:pt idx="8">
                  <c:v>19.240578360880658</c:v>
                </c:pt>
                <c:pt idx="9">
                  <c:v>17.418700653316769</c:v>
                </c:pt>
                <c:pt idx="10">
                  <c:v>17.319477891153763</c:v>
                </c:pt>
                <c:pt idx="11">
                  <c:v>18.948289451518306</c:v>
                </c:pt>
                <c:pt idx="12">
                  <c:v>17.665870149435523</c:v>
                </c:pt>
                <c:pt idx="13">
                  <c:v>18.514291514112216</c:v>
                </c:pt>
                <c:pt idx="14">
                  <c:v>17.487896985511707</c:v>
                </c:pt>
                <c:pt idx="15">
                  <c:v>18.297129583114113</c:v>
                </c:pt>
                <c:pt idx="16">
                  <c:v>17.262982867264096</c:v>
                </c:pt>
                <c:pt idx="17">
                  <c:v>16.266538457403573</c:v>
                </c:pt>
                <c:pt idx="18">
                  <c:v>16.779594790790444</c:v>
                </c:pt>
                <c:pt idx="19">
                  <c:v>18.674260052659992</c:v>
                </c:pt>
                <c:pt idx="20">
                  <c:v>17.051039528250808</c:v>
                </c:pt>
                <c:pt idx="21">
                  <c:v>18.602409341959728</c:v>
                </c:pt>
                <c:pt idx="22">
                  <c:v>16.914505056877182</c:v>
                </c:pt>
                <c:pt idx="23">
                  <c:v>19.126820927172915</c:v>
                </c:pt>
                <c:pt idx="24">
                  <c:v>18.911122115673717</c:v>
                </c:pt>
                <c:pt idx="25">
                  <c:v>14.936076083652294</c:v>
                </c:pt>
                <c:pt idx="26">
                  <c:v>17.095361748854209</c:v>
                </c:pt>
                <c:pt idx="27">
                  <c:v>17.659419899955779</c:v>
                </c:pt>
                <c:pt idx="28">
                  <c:v>17.49118523882607</c:v>
                </c:pt>
                <c:pt idx="29">
                  <c:v>16.833640626368609</c:v>
                </c:pt>
                <c:pt idx="30">
                  <c:v>15.246185462757834</c:v>
                </c:pt>
                <c:pt idx="31">
                  <c:v>18.439084341391993</c:v>
                </c:pt>
                <c:pt idx="32">
                  <c:v>17.658945731385021</c:v>
                </c:pt>
                <c:pt idx="33">
                  <c:v>19.003208714947633</c:v>
                </c:pt>
                <c:pt idx="34">
                  <c:v>16.198447141096278</c:v>
                </c:pt>
                <c:pt idx="35">
                  <c:v>19.054418497385036</c:v>
                </c:pt>
                <c:pt idx="36">
                  <c:v>15.59470476158506</c:v>
                </c:pt>
                <c:pt idx="37">
                  <c:v>16.524686822630994</c:v>
                </c:pt>
                <c:pt idx="38">
                  <c:v>17.736401885507824</c:v>
                </c:pt>
                <c:pt idx="39">
                  <c:v>14.512350868250603</c:v>
                </c:pt>
                <c:pt idx="40">
                  <c:v>18.454950715704751</c:v>
                </c:pt>
                <c:pt idx="41">
                  <c:v>18.115848396725458</c:v>
                </c:pt>
                <c:pt idx="42">
                  <c:v>17.093595349711954</c:v>
                </c:pt>
                <c:pt idx="43">
                  <c:v>15.424543875261785</c:v>
                </c:pt>
                <c:pt idx="44">
                  <c:v>15.723815185710613</c:v>
                </c:pt>
                <c:pt idx="45">
                  <c:v>15.353609704141927</c:v>
                </c:pt>
                <c:pt idx="46">
                  <c:v>15.702919209645614</c:v>
                </c:pt>
                <c:pt idx="47">
                  <c:v>15.180302863518076</c:v>
                </c:pt>
                <c:pt idx="48">
                  <c:v>16.903373974815803</c:v>
                </c:pt>
                <c:pt idx="49">
                  <c:v>12.723864546448718</c:v>
                </c:pt>
                <c:pt idx="50">
                  <c:v>17.300775077563184</c:v>
                </c:pt>
                <c:pt idx="51">
                  <c:v>17.088483537281132</c:v>
                </c:pt>
                <c:pt idx="52">
                  <c:v>17.797582609044319</c:v>
                </c:pt>
                <c:pt idx="53">
                  <c:v>9.6371722435014835</c:v>
                </c:pt>
                <c:pt idx="54">
                  <c:v>16.102475837444739</c:v>
                </c:pt>
                <c:pt idx="55">
                  <c:v>14.322460455590013</c:v>
                </c:pt>
                <c:pt idx="56">
                  <c:v>10.09923900945031</c:v>
                </c:pt>
                <c:pt idx="57">
                  <c:v>12.379852494619842</c:v>
                </c:pt>
                <c:pt idx="58">
                  <c:v>15.838622527811969</c:v>
                </c:pt>
                <c:pt idx="59">
                  <c:v>15.582081922132973</c:v>
                </c:pt>
                <c:pt idx="60">
                  <c:v>14.486053216918304</c:v>
                </c:pt>
                <c:pt idx="61">
                  <c:v>17.423262406542374</c:v>
                </c:pt>
                <c:pt idx="62">
                  <c:v>18.050938931521344</c:v>
                </c:pt>
                <c:pt idx="63">
                  <c:v>16.798235325357215</c:v>
                </c:pt>
                <c:pt idx="64">
                  <c:v>17.052601014461043</c:v>
                </c:pt>
                <c:pt idx="65">
                  <c:v>18.310082138442432</c:v>
                </c:pt>
                <c:pt idx="66">
                  <c:v>18.088525896612055</c:v>
                </c:pt>
                <c:pt idx="67">
                  <c:v>13.488188525975755</c:v>
                </c:pt>
                <c:pt idx="68">
                  <c:v>15.895232798789614</c:v>
                </c:pt>
                <c:pt idx="69">
                  <c:v>17.111650116657234</c:v>
                </c:pt>
                <c:pt idx="70">
                  <c:v>17.295543335417566</c:v>
                </c:pt>
                <c:pt idx="71">
                  <c:v>16.730491287758895</c:v>
                </c:pt>
                <c:pt idx="72">
                  <c:v>15.913870492476681</c:v>
                </c:pt>
                <c:pt idx="73">
                  <c:v>15.066621814271221</c:v>
                </c:pt>
                <c:pt idx="74">
                  <c:v>15.53976675390812</c:v>
                </c:pt>
                <c:pt idx="75">
                  <c:v>15.198756057567941</c:v>
                </c:pt>
                <c:pt idx="76">
                  <c:v>12.617296328618631</c:v>
                </c:pt>
                <c:pt idx="77">
                  <c:v>17.657052016816888</c:v>
                </c:pt>
                <c:pt idx="78">
                  <c:v>15.338458476430961</c:v>
                </c:pt>
                <c:pt idx="79">
                  <c:v>6.9424935909210044</c:v>
                </c:pt>
                <c:pt idx="80">
                  <c:v>17.081151623807465</c:v>
                </c:pt>
                <c:pt idx="81">
                  <c:v>15.086902208448814</c:v>
                </c:pt>
                <c:pt idx="82">
                  <c:v>14.209095142269925</c:v>
                </c:pt>
                <c:pt idx="83">
                  <c:v>16.664586731482046</c:v>
                </c:pt>
                <c:pt idx="84">
                  <c:v>15.799275894222653</c:v>
                </c:pt>
                <c:pt idx="85">
                  <c:v>6.0857980234994837</c:v>
                </c:pt>
                <c:pt idx="86">
                  <c:v>17.161621270960577</c:v>
                </c:pt>
                <c:pt idx="87">
                  <c:v>16.312359613718414</c:v>
                </c:pt>
                <c:pt idx="88">
                  <c:v>16.5824480094869</c:v>
                </c:pt>
                <c:pt idx="89">
                  <c:v>16.395851015897975</c:v>
                </c:pt>
                <c:pt idx="90">
                  <c:v>14.86915027584989</c:v>
                </c:pt>
                <c:pt idx="91">
                  <c:v>17.464908819499058</c:v>
                </c:pt>
                <c:pt idx="92">
                  <c:v>15.880004908319629</c:v>
                </c:pt>
                <c:pt idx="93">
                  <c:v>11.414648246135297</c:v>
                </c:pt>
                <c:pt idx="94">
                  <c:v>14.983195272315472</c:v>
                </c:pt>
                <c:pt idx="95">
                  <c:v>13.251005978891852</c:v>
                </c:pt>
                <c:pt idx="96">
                  <c:v>12.252280146170758</c:v>
                </c:pt>
                <c:pt idx="97">
                  <c:v>11.835478472432047</c:v>
                </c:pt>
                <c:pt idx="98">
                  <c:v>14.513898196073079</c:v>
                </c:pt>
                <c:pt idx="99">
                  <c:v>14.041737538705934</c:v>
                </c:pt>
                <c:pt idx="100">
                  <c:v>13.760617948290218</c:v>
                </c:pt>
                <c:pt idx="101">
                  <c:v>16.13073914317669</c:v>
                </c:pt>
                <c:pt idx="102">
                  <c:v>15.16230236167954</c:v>
                </c:pt>
                <c:pt idx="103">
                  <c:v>13.114565405163093</c:v>
                </c:pt>
                <c:pt idx="104">
                  <c:v>10.460548715212049</c:v>
                </c:pt>
                <c:pt idx="105">
                  <c:v>10.204858177753197</c:v>
                </c:pt>
                <c:pt idx="106">
                  <c:v>7.5154597056719945</c:v>
                </c:pt>
                <c:pt idx="107">
                  <c:v>15.759595490975466</c:v>
                </c:pt>
                <c:pt idx="108">
                  <c:v>13.277219520055255</c:v>
                </c:pt>
                <c:pt idx="109">
                  <c:v>12.258313595485189</c:v>
                </c:pt>
                <c:pt idx="110">
                  <c:v>9.3303950883427813</c:v>
                </c:pt>
                <c:pt idx="111">
                  <c:v>14.283645537090935</c:v>
                </c:pt>
                <c:pt idx="112">
                  <c:v>13.630918313564578</c:v>
                </c:pt>
                <c:pt idx="113">
                  <c:v>11.503500239095677</c:v>
                </c:pt>
                <c:pt idx="114">
                  <c:v>10.711508317458911</c:v>
                </c:pt>
                <c:pt idx="115">
                  <c:v>15.328988483208621</c:v>
                </c:pt>
                <c:pt idx="116">
                  <c:v>16.214564760525445</c:v>
                </c:pt>
                <c:pt idx="117">
                  <c:v>5.448883653583156</c:v>
                </c:pt>
                <c:pt idx="118">
                  <c:v>14.80874674555929</c:v>
                </c:pt>
                <c:pt idx="119">
                  <c:v>14.375327741777443</c:v>
                </c:pt>
                <c:pt idx="120">
                  <c:v>15.622012724915066</c:v>
                </c:pt>
                <c:pt idx="121">
                  <c:v>11.21601658739373</c:v>
                </c:pt>
                <c:pt idx="122">
                  <c:v>13.547148561056229</c:v>
                </c:pt>
                <c:pt idx="123">
                  <c:v>17.349197857085468</c:v>
                </c:pt>
                <c:pt idx="124">
                  <c:v>7.4797707155018305</c:v>
                </c:pt>
                <c:pt idx="125">
                  <c:v>11.664029335370058</c:v>
                </c:pt>
                <c:pt idx="126">
                  <c:v>12.554950603049969</c:v>
                </c:pt>
                <c:pt idx="127">
                  <c:v>15.115750703752525</c:v>
                </c:pt>
                <c:pt idx="128">
                  <c:v>15.745708290216966</c:v>
                </c:pt>
                <c:pt idx="129">
                  <c:v>9.4009021620757593</c:v>
                </c:pt>
                <c:pt idx="130">
                  <c:v>13.675796772007907</c:v>
                </c:pt>
                <c:pt idx="131">
                  <c:v>8.3269173241006555</c:v>
                </c:pt>
                <c:pt idx="132">
                  <c:v>5.1136885363101996</c:v>
                </c:pt>
                <c:pt idx="133">
                  <c:v>14.480102308259902</c:v>
                </c:pt>
                <c:pt idx="134">
                  <c:v>6.9259778106770407</c:v>
                </c:pt>
                <c:pt idx="135">
                  <c:v>16.263971633968616</c:v>
                </c:pt>
                <c:pt idx="136">
                  <c:v>15.570607922801354</c:v>
                </c:pt>
                <c:pt idx="137">
                  <c:v>12.854627657181201</c:v>
                </c:pt>
                <c:pt idx="138">
                  <c:v>16.632365015803213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C19-FF4F-9677-AF4ABF984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974255"/>
        <c:axId val="677882063"/>
      </c:scatterChart>
      <c:valAx>
        <c:axId val="611974255"/>
        <c:scaling>
          <c:orientation val="minMax"/>
          <c:max val="10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882063"/>
        <c:crosses val="autoZero"/>
        <c:crossBetween val="midCat"/>
      </c:valAx>
      <c:valAx>
        <c:axId val="6778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9742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923237</xdr:colOff>
      <xdr:row>11</xdr:row>
      <xdr:rowOff>49656</xdr:rowOff>
    </xdr:from>
    <xdr:to>
      <xdr:col>6</xdr:col>
      <xdr:colOff>236002</xdr:colOff>
      <xdr:row>12</xdr:row>
      <xdr:rowOff>181158</xdr:rowOff>
    </xdr:to>
    <xdr:sp macro="[0]!RunMainPric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D0842F2-BDF6-E039-AB1F-A27D7B74E7E5}"/>
            </a:ext>
          </a:extLst>
        </xdr:cNvPr>
        <xdr:cNvSpPr/>
      </xdr:nvSpPr>
      <xdr:spPr>
        <a:xfrm>
          <a:off x="5347303" y="2450096"/>
          <a:ext cx="1308479" cy="34084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2</xdr:col>
      <xdr:colOff>437146</xdr:colOff>
      <xdr:row>19</xdr:row>
      <xdr:rowOff>13657</xdr:rowOff>
    </xdr:from>
    <xdr:to>
      <xdr:col>3</xdr:col>
      <xdr:colOff>732145</xdr:colOff>
      <xdr:row>20</xdr:row>
      <xdr:rowOff>129112</xdr:rowOff>
    </xdr:to>
    <xdr:sp macro="[0]!RunConvergenceM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EDD4189-916C-5642-9645-E64CF27D3670}"/>
            </a:ext>
          </a:extLst>
        </xdr:cNvPr>
        <xdr:cNvSpPr/>
      </xdr:nvSpPr>
      <xdr:spPr>
        <a:xfrm>
          <a:off x="2649404" y="3796345"/>
          <a:ext cx="1291881" cy="32029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261217</xdr:colOff>
      <xdr:row>22</xdr:row>
      <xdr:rowOff>21069</xdr:rowOff>
    </xdr:from>
    <xdr:to>
      <xdr:col>13</xdr:col>
      <xdr:colOff>360797</xdr:colOff>
      <xdr:row>44</xdr:row>
      <xdr:rowOff>129886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BE1D24C-CEA2-000B-F2A1-9E3827D1A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770106</xdr:colOff>
      <xdr:row>6</xdr:row>
      <xdr:rowOff>54042</xdr:rowOff>
    </xdr:from>
    <xdr:to>
      <xdr:col>11</xdr:col>
      <xdr:colOff>418830</xdr:colOff>
      <xdr:row>8</xdr:row>
      <xdr:rowOff>54042</xdr:rowOff>
    </xdr:to>
    <xdr:sp macro="[0]!RunLongstaffVsBla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EBCBE80-20D1-D63A-68C0-496B3050644E}"/>
            </a:ext>
          </a:extLst>
        </xdr:cNvPr>
        <xdr:cNvSpPr/>
      </xdr:nvSpPr>
      <xdr:spPr>
        <a:xfrm>
          <a:off x="8917021" y="1378085"/>
          <a:ext cx="1297022" cy="40531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Regressions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110FD7D-DC1A-9E44-B04D-81339F7DF499}"/>
            </a:ext>
          </a:extLst>
        </xdr:cNvPr>
        <xdr:cNvSpPr/>
      </xdr:nvSpPr>
      <xdr:spPr>
        <a:xfrm>
          <a:off x="749286" y="1927813"/>
          <a:ext cx="1301452" cy="33112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7</xdr:col>
      <xdr:colOff>296014</xdr:colOff>
      <xdr:row>13</xdr:row>
      <xdr:rowOff>124134</xdr:rowOff>
    </xdr:from>
    <xdr:to>
      <xdr:col>14</xdr:col>
      <xdr:colOff>776585</xdr:colOff>
      <xdr:row>29</xdr:row>
      <xdr:rowOff>190319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4D5067B-2E8A-D805-D20B-D634A6EE07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" TargetMode="External"/><Relationship Id="rId2" Type="http://schemas.microsoft.com/office/2019/04/relationships/externalLinkLong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?3B443FF9" TargetMode="External"/><Relationship Id="rId1" Type="http://schemas.openxmlformats.org/officeDocument/2006/relationships/externalLinkPath" Target="file:///\\3B443FF9\VBATree_Bourjot_Chebre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ree of Prices"/>
      <sheetName val="B&amp;S vs Tree"/>
      <sheetName val="M1 Black &amp; Scholes Menu"/>
      <sheetName val="Convergence"/>
      <sheetName val="Strike Function"/>
    </sheetNames>
    <sheetDataSet>
      <sheetData sheetId="0" refreshError="1"/>
      <sheetData sheetId="1" refreshError="1"/>
      <sheetData sheetId="2">
        <row r="4">
          <cell r="B4">
            <v>101</v>
          </cell>
        </row>
        <row r="10">
          <cell r="B10">
            <v>0.21</v>
          </cell>
        </row>
        <row r="11">
          <cell r="B11">
            <v>0.03</v>
          </cell>
        </row>
        <row r="12">
          <cell r="B12">
            <v>0</v>
          </cell>
        </row>
      </sheetData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6FCF9-5322-EE49-B316-BC1BA06C398B}">
  <sheetPr codeName="Feuil1"/>
  <dimension ref="A1:Z269"/>
  <sheetViews>
    <sheetView tabSelected="1" zoomScale="85" zoomScaleNormal="85" workbookViewId="0">
      <selection activeCell="N7" sqref="N7"/>
    </sheetView>
  </sheetViews>
  <sheetFormatPr baseColWidth="10" defaultColWidth="10.796875" defaultRowHeight="15.6" x14ac:dyDescent="0.3"/>
  <cols>
    <col min="1" max="1" width="10.796875" style="2"/>
    <col min="2" max="2" width="18.296875" style="2" customWidth="1"/>
    <col min="3" max="3" width="13.19921875" style="2" customWidth="1"/>
    <col min="4" max="4" width="15.796875" style="2" customWidth="1"/>
    <col min="5" max="5" width="12.296875" style="2" customWidth="1"/>
    <col min="6" max="6" width="15.5" style="2" customWidth="1"/>
    <col min="7" max="7" width="14.19921875" style="2" customWidth="1"/>
    <col min="8" max="8" width="16.59765625" style="2" bestFit="1" customWidth="1"/>
    <col min="9" max="9" width="12.69921875" style="2" customWidth="1"/>
    <col min="10" max="16384" width="10.796875" style="2"/>
  </cols>
  <sheetData>
    <row r="1" spans="1:26" ht="23.4" x14ac:dyDescent="0.45">
      <c r="A1" s="1"/>
      <c r="B1" s="1"/>
      <c r="C1" s="1"/>
      <c r="D1" s="1"/>
      <c r="E1" s="17" t="s">
        <v>46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31-03-2028 @ 100 with r=0,03, div=3, vol=0,2 and spot=110 on 31-mars-25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39" t="s">
        <v>9</v>
      </c>
      <c r="C6" s="39"/>
      <c r="D6" s="1"/>
      <c r="E6" s="39" t="s">
        <v>0</v>
      </c>
      <c r="F6" s="39"/>
      <c r="G6" s="1"/>
      <c r="H6" s="39" t="s">
        <v>10</v>
      </c>
      <c r="I6" s="39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3">
      <c r="A7" s="1"/>
      <c r="B7" s="3" t="s">
        <v>6</v>
      </c>
      <c r="C7" s="5">
        <v>110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2" x14ac:dyDescent="0.3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50000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2" x14ac:dyDescent="0.3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46843</v>
      </c>
      <c r="G9" s="1"/>
      <c r="H9" s="1" t="s">
        <v>4</v>
      </c>
      <c r="I9" s="10">
        <v>10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3" t="s">
        <v>57</v>
      </c>
      <c r="C10" s="36">
        <v>3</v>
      </c>
      <c r="D10" s="2" t="s">
        <v>18</v>
      </c>
      <c r="E10" s="3" t="s">
        <v>17</v>
      </c>
      <c r="F10" s="37" t="s">
        <v>14</v>
      </c>
      <c r="G10" s="1"/>
      <c r="H10" s="1" t="s">
        <v>5</v>
      </c>
      <c r="I10" s="10">
        <v>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5" t="s">
        <v>58</v>
      </c>
      <c r="C11" s="40">
        <v>46112</v>
      </c>
      <c r="E11" s="1"/>
      <c r="G11" s="1"/>
      <c r="H11" s="1" t="s">
        <v>11</v>
      </c>
      <c r="I11" s="7" t="s">
        <v>12</v>
      </c>
      <c r="J11" s="1" t="s">
        <v>54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G12" s="1"/>
      <c r="H12" s="1" t="s">
        <v>56</v>
      </c>
      <c r="I12" s="10" t="s">
        <v>59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D13" s="30" t="s">
        <v>40</v>
      </c>
      <c r="F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5"/>
      <c r="B14" s="38" t="s">
        <v>33</v>
      </c>
      <c r="C14" s="38"/>
      <c r="D14" s="31">
        <v>23.354729910850011</v>
      </c>
      <c r="E14" s="1" t="s">
        <v>42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2" t="s">
        <v>3</v>
      </c>
      <c r="C15" s="13" t="s">
        <v>34</v>
      </c>
      <c r="D15" s="13" t="s">
        <v>35</v>
      </c>
      <c r="E15" s="14" t="s">
        <v>44</v>
      </c>
      <c r="F15" s="14" t="s">
        <v>45</v>
      </c>
      <c r="G15" s="32" t="s">
        <v>41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8" t="s">
        <v>26</v>
      </c>
      <c r="B16" s="10">
        <v>22.890532258565628</v>
      </c>
      <c r="C16" s="28">
        <v>0</v>
      </c>
      <c r="D16" s="10">
        <v>23.076084074114156</v>
      </c>
      <c r="E16" s="10">
        <v>0</v>
      </c>
      <c r="F16" s="27">
        <v>22.958919211314353</v>
      </c>
      <c r="G16" s="27">
        <v>23.0022717193219</v>
      </c>
      <c r="H16" s="2">
        <v>23.0022717193219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8" t="s">
        <v>27</v>
      </c>
      <c r="B17" s="27">
        <v>9.0193748474121094E-4</v>
      </c>
      <c r="C17" s="27">
        <v>9.0193748474121094E-4</v>
      </c>
      <c r="D17" s="27">
        <v>1.4564464092254639</v>
      </c>
      <c r="E17" s="27">
        <v>1.4564464092254639</v>
      </c>
      <c r="F17" s="27">
        <v>2.051393985748291</v>
      </c>
      <c r="G17" s="27">
        <v>2.5544643402099609E-2</v>
      </c>
      <c r="H17" s="2" t="s">
        <v>22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8"/>
      <c r="B18" s="29"/>
      <c r="C18" s="29"/>
      <c r="D18" s="31">
        <v>22.797438237378302</v>
      </c>
      <c r="E18" s="2" t="s">
        <v>47</v>
      </c>
      <c r="F18" s="30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34"/>
      <c r="B19" s="35"/>
      <c r="C19" s="35"/>
      <c r="D19" s="35"/>
      <c r="E19" s="35"/>
      <c r="F19" s="35"/>
      <c r="G19" s="35"/>
      <c r="H19" s="35"/>
      <c r="I19" s="3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2" t="s">
        <v>31</v>
      </c>
      <c r="B20" s="33" t="s">
        <v>3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0">
        <v>0.5</v>
      </c>
      <c r="B21" s="10">
        <v>12.699857116309779</v>
      </c>
    </row>
    <row r="22" spans="1:26" ht="18" x14ac:dyDescent="0.35">
      <c r="A22" s="2" t="s">
        <v>38</v>
      </c>
      <c r="B22" s="26" t="s">
        <v>37</v>
      </c>
      <c r="C22" s="20" t="s">
        <v>32</v>
      </c>
    </row>
    <row r="23" spans="1:26" x14ac:dyDescent="0.3">
      <c r="A23" s="24">
        <v>10</v>
      </c>
      <c r="B23" s="2">
        <v>12.972826421077807</v>
      </c>
      <c r="C23" s="2">
        <f>(MCPrices-BS_Price)*(Paths_Main^A21)</f>
        <v>0.8632047343796273</v>
      </c>
    </row>
    <row r="24" spans="1:26" x14ac:dyDescent="0.3">
      <c r="A24" s="25">
        <v>12</v>
      </c>
      <c r="B24" s="2">
        <v>19.497461448335585</v>
      </c>
      <c r="C24" s="2">
        <f t="shared" ref="C24:C87" si="0">($B24-BS_Price)*($A24^$A$21)</f>
        <v>23.547592145637989</v>
      </c>
    </row>
    <row r="25" spans="1:26" x14ac:dyDescent="0.3">
      <c r="A25" s="25">
        <v>15</v>
      </c>
      <c r="B25" s="2">
        <v>16.894676888298658</v>
      </c>
      <c r="C25" s="2">
        <f t="shared" si="0"/>
        <v>16.246467117254522</v>
      </c>
    </row>
    <row r="26" spans="1:26" x14ac:dyDescent="0.3">
      <c r="A26" s="25">
        <v>18</v>
      </c>
      <c r="B26" s="2">
        <v>14.109935382480465</v>
      </c>
      <c r="C26" s="2">
        <f t="shared" si="0"/>
        <v>5.9824554240783687</v>
      </c>
    </row>
    <row r="27" spans="1:26" x14ac:dyDescent="0.3">
      <c r="A27" s="25">
        <v>20</v>
      </c>
      <c r="B27" s="2">
        <v>13.570935750584857</v>
      </c>
      <c r="C27" s="2">
        <f t="shared" si="0"/>
        <v>3.8955820799735035</v>
      </c>
    </row>
    <row r="28" spans="1:26" x14ac:dyDescent="0.3">
      <c r="A28" s="25">
        <v>22</v>
      </c>
      <c r="B28" s="2">
        <v>12.337214318713507</v>
      </c>
      <c r="C28" s="2">
        <f t="shared" si="0"/>
        <v>-1.7009454930320158</v>
      </c>
    </row>
    <row r="29" spans="1:26" x14ac:dyDescent="0.3">
      <c r="A29" s="25">
        <v>25</v>
      </c>
      <c r="B29" s="2">
        <v>10.858839718822068</v>
      </c>
      <c r="C29" s="2">
        <f t="shared" si="0"/>
        <v>-9.2050869874385555</v>
      </c>
    </row>
    <row r="30" spans="1:26" x14ac:dyDescent="0.3">
      <c r="A30" s="25">
        <v>28</v>
      </c>
      <c r="B30" s="2">
        <v>9.8507799079286524</v>
      </c>
      <c r="C30" s="2">
        <f t="shared" si="0"/>
        <v>-15.075899518797222</v>
      </c>
    </row>
    <row r="31" spans="1:26" x14ac:dyDescent="0.3">
      <c r="A31" s="25">
        <v>30</v>
      </c>
      <c r="B31" s="2">
        <v>9.1940612474000751</v>
      </c>
      <c r="C31" s="2">
        <f t="shared" si="0"/>
        <v>-19.202034794102694</v>
      </c>
    </row>
    <row r="32" spans="1:26" x14ac:dyDescent="0.3">
      <c r="A32" s="25">
        <v>32</v>
      </c>
      <c r="B32" s="2">
        <v>11.715840795704196</v>
      </c>
      <c r="C32" s="2">
        <f t="shared" si="0"/>
        <v>-5.566436904787551</v>
      </c>
    </row>
    <row r="33" spans="1:3" x14ac:dyDescent="0.3">
      <c r="A33" s="25">
        <v>35</v>
      </c>
      <c r="B33" s="2">
        <v>12.356557868039792</v>
      </c>
      <c r="C33" s="2">
        <f t="shared" si="0"/>
        <v>-2.0309857422433701</v>
      </c>
    </row>
    <row r="34" spans="1:3" x14ac:dyDescent="0.3">
      <c r="A34" s="25">
        <v>38</v>
      </c>
      <c r="B34" s="2">
        <v>12.494533465876772</v>
      </c>
      <c r="C34" s="2">
        <f t="shared" si="0"/>
        <v>-1.2656999858699349</v>
      </c>
    </row>
    <row r="35" spans="1:3" x14ac:dyDescent="0.3">
      <c r="A35" s="25">
        <v>40</v>
      </c>
      <c r="B35" s="2">
        <v>12.207109994618438</v>
      </c>
      <c r="C35" s="2">
        <f t="shared" si="0"/>
        <v>-3.1164064300735954</v>
      </c>
    </row>
    <row r="36" spans="1:3" x14ac:dyDescent="0.3">
      <c r="A36" s="25">
        <v>42</v>
      </c>
      <c r="B36" s="2">
        <v>12.874440632437413</v>
      </c>
      <c r="C36" s="2">
        <f t="shared" si="0"/>
        <v>1.1314304982394978</v>
      </c>
    </row>
    <row r="37" spans="1:3" x14ac:dyDescent="0.3">
      <c r="A37" s="25">
        <v>45</v>
      </c>
      <c r="B37" s="2">
        <v>12.430310359967171</v>
      </c>
      <c r="C37" s="2">
        <f t="shared" si="0"/>
        <v>-1.8081746108899335</v>
      </c>
    </row>
    <row r="38" spans="1:3" x14ac:dyDescent="0.3">
      <c r="A38" s="25">
        <v>48</v>
      </c>
      <c r="B38" s="2">
        <v>12.043305152006761</v>
      </c>
      <c r="C38" s="2">
        <f t="shared" si="0"/>
        <v>-4.5487254399279013</v>
      </c>
    </row>
    <row r="39" spans="1:3" x14ac:dyDescent="0.3">
      <c r="A39" s="25">
        <v>50</v>
      </c>
      <c r="B39" s="2">
        <v>11.561572945926491</v>
      </c>
      <c r="C39" s="2">
        <f t="shared" si="0"/>
        <v>-8.0488845579532668</v>
      </c>
    </row>
    <row r="40" spans="1:3" x14ac:dyDescent="0.3">
      <c r="A40" s="25">
        <v>55</v>
      </c>
      <c r="B40" s="2">
        <v>12.215654278525996</v>
      </c>
      <c r="C40" s="2">
        <f t="shared" si="0"/>
        <v>-3.590944353019522</v>
      </c>
    </row>
    <row r="41" spans="1:3" x14ac:dyDescent="0.3">
      <c r="A41" s="25">
        <v>60</v>
      </c>
      <c r="B41" s="2">
        <v>13.850965632286561</v>
      </c>
      <c r="C41" s="2">
        <f t="shared" si="0"/>
        <v>8.9164482241112228</v>
      </c>
    </row>
    <row r="42" spans="1:3" x14ac:dyDescent="0.3">
      <c r="A42" s="25">
        <v>65</v>
      </c>
      <c r="B42" s="2">
        <v>14.691484866211779</v>
      </c>
      <c r="C42" s="2">
        <f t="shared" si="0"/>
        <v>16.0570162583738</v>
      </c>
    </row>
    <row r="43" spans="1:3" x14ac:dyDescent="0.3">
      <c r="A43" s="25">
        <v>70</v>
      </c>
      <c r="B43" s="2">
        <v>16.076185896656359</v>
      </c>
      <c r="C43" s="2">
        <f t="shared" si="0"/>
        <v>28.248393269525319</v>
      </c>
    </row>
    <row r="44" spans="1:3" x14ac:dyDescent="0.3">
      <c r="A44" s="25">
        <v>75</v>
      </c>
      <c r="B44" s="2">
        <v>16.141708485869295</v>
      </c>
      <c r="C44" s="2">
        <f t="shared" si="0"/>
        <v>29.807307220888028</v>
      </c>
    </row>
    <row r="45" spans="1:3" x14ac:dyDescent="0.3">
      <c r="A45" s="25">
        <v>80</v>
      </c>
      <c r="B45" s="2">
        <v>15.537291861216374</v>
      </c>
      <c r="C45" s="2">
        <f t="shared" si="0"/>
        <v>25.378787885323689</v>
      </c>
    </row>
    <row r="46" spans="1:3" x14ac:dyDescent="0.3">
      <c r="A46" s="25">
        <v>85</v>
      </c>
      <c r="B46" s="2">
        <v>15.329809616235092</v>
      </c>
      <c r="C46" s="2">
        <f t="shared" si="0"/>
        <v>24.24696399362999</v>
      </c>
    </row>
    <row r="47" spans="1:3" x14ac:dyDescent="0.3">
      <c r="A47" s="25">
        <v>90</v>
      </c>
      <c r="B47" s="2">
        <v>15.601834311043964</v>
      </c>
      <c r="C47" s="2">
        <f t="shared" si="0"/>
        <v>27.530572959678047</v>
      </c>
    </row>
    <row r="48" spans="1:3" x14ac:dyDescent="0.3">
      <c r="A48" s="25">
        <v>95</v>
      </c>
      <c r="B48" s="2">
        <v>15.420929352932269</v>
      </c>
      <c r="C48" s="2">
        <f t="shared" si="0"/>
        <v>26.521731487728761</v>
      </c>
    </row>
    <row r="49" spans="1:3" x14ac:dyDescent="0.3">
      <c r="A49" s="25">
        <v>100</v>
      </c>
      <c r="B49" s="2">
        <v>15.261275045143702</v>
      </c>
      <c r="C49" s="2">
        <f t="shared" si="0"/>
        <v>25.614179288339223</v>
      </c>
    </row>
    <row r="50" spans="1:3" x14ac:dyDescent="0.3">
      <c r="A50" s="25">
        <v>105</v>
      </c>
      <c r="B50" s="2">
        <v>15.252263782143084</v>
      </c>
      <c r="C50" s="2">
        <f t="shared" si="0"/>
        <v>26.154385439500963</v>
      </c>
    </row>
    <row r="51" spans="1:3" x14ac:dyDescent="0.3">
      <c r="A51" s="25">
        <v>110</v>
      </c>
      <c r="B51" s="2">
        <v>15.215886252868223</v>
      </c>
      <c r="C51" s="2">
        <f t="shared" si="0"/>
        <v>26.388336206764027</v>
      </c>
    </row>
    <row r="52" spans="1:3" x14ac:dyDescent="0.3">
      <c r="A52" s="25">
        <v>115</v>
      </c>
      <c r="B52" s="2">
        <v>14.625119428854282</v>
      </c>
      <c r="C52" s="2">
        <f t="shared" si="0"/>
        <v>20.64613818107356</v>
      </c>
    </row>
    <row r="53" spans="1:3" x14ac:dyDescent="0.3">
      <c r="A53" s="25">
        <v>120</v>
      </c>
      <c r="B53" s="2">
        <v>14.873256657097365</v>
      </c>
      <c r="C53" s="2">
        <f t="shared" si="0"/>
        <v>23.808399099214597</v>
      </c>
    </row>
    <row r="54" spans="1:3" x14ac:dyDescent="0.3">
      <c r="A54" s="25">
        <v>125</v>
      </c>
      <c r="B54" s="2">
        <v>14.27832639081347</v>
      </c>
      <c r="C54" s="2">
        <f t="shared" si="0"/>
        <v>17.647822990925146</v>
      </c>
    </row>
    <row r="55" spans="1:3" x14ac:dyDescent="0.3">
      <c r="A55" s="25">
        <v>130</v>
      </c>
      <c r="B55" s="2">
        <v>13.990675322330624</v>
      </c>
      <c r="C55" s="2">
        <f t="shared" si="0"/>
        <v>14.717591967755231</v>
      </c>
    </row>
    <row r="56" spans="1:3" x14ac:dyDescent="0.3">
      <c r="A56" s="25">
        <v>135</v>
      </c>
      <c r="B56" s="2">
        <v>14.239615930832928</v>
      </c>
      <c r="C56" s="2">
        <f t="shared" si="0"/>
        <v>17.890380737472686</v>
      </c>
    </row>
    <row r="57" spans="1:3" x14ac:dyDescent="0.3">
      <c r="A57" s="25">
        <v>140</v>
      </c>
      <c r="B57" s="2">
        <v>13.789217754263021</v>
      </c>
      <c r="C57" s="2">
        <f t="shared" si="0"/>
        <v>12.889488893399344</v>
      </c>
    </row>
    <row r="58" spans="1:3" x14ac:dyDescent="0.3">
      <c r="A58" s="25">
        <v>145</v>
      </c>
      <c r="B58" s="2">
        <v>13.334825237553726</v>
      </c>
      <c r="C58" s="2">
        <f t="shared" si="0"/>
        <v>7.6460286864770426</v>
      </c>
    </row>
    <row r="59" spans="1:3" x14ac:dyDescent="0.3">
      <c r="A59" s="25">
        <v>150</v>
      </c>
      <c r="B59" s="2">
        <v>13.485601197143819</v>
      </c>
      <c r="C59" s="2">
        <f t="shared" si="0"/>
        <v>9.623360332277878</v>
      </c>
    </row>
    <row r="60" spans="1:3" x14ac:dyDescent="0.3">
      <c r="A60" s="25">
        <v>155</v>
      </c>
      <c r="B60" s="2">
        <v>13.050581803687567</v>
      </c>
      <c r="C60" s="2">
        <f t="shared" si="0"/>
        <v>4.3664871443894473</v>
      </c>
    </row>
    <row r="61" spans="1:3" x14ac:dyDescent="0.3">
      <c r="A61" s="25">
        <v>160</v>
      </c>
      <c r="B61" s="2">
        <v>13.064046120375451</v>
      </c>
      <c r="C61" s="2">
        <f t="shared" si="0"/>
        <v>4.6066670065433817</v>
      </c>
    </row>
    <row r="62" spans="1:3" x14ac:dyDescent="0.3">
      <c r="A62" s="25">
        <v>165</v>
      </c>
      <c r="B62" s="2">
        <v>12.973731160880057</v>
      </c>
      <c r="C62" s="2">
        <f t="shared" si="0"/>
        <v>3.5179757997649133</v>
      </c>
    </row>
    <row r="63" spans="1:3" x14ac:dyDescent="0.3">
      <c r="A63" s="25">
        <v>170</v>
      </c>
      <c r="B63" s="2">
        <v>12.986644896925634</v>
      </c>
      <c r="C63" s="2">
        <f t="shared" si="0"/>
        <v>3.7392551783472228</v>
      </c>
    </row>
    <row r="64" spans="1:3" x14ac:dyDescent="0.3">
      <c r="A64" s="25">
        <v>175</v>
      </c>
      <c r="B64" s="2">
        <v>12.674025621242025</v>
      </c>
      <c r="C64" s="2">
        <f t="shared" si="0"/>
        <v>-0.34171855971134407</v>
      </c>
    </row>
    <row r="65" spans="1:3" x14ac:dyDescent="0.3">
      <c r="A65" s="25">
        <v>180</v>
      </c>
      <c r="B65" s="2">
        <v>13.057817072069838</v>
      </c>
      <c r="C65" s="2">
        <f t="shared" si="0"/>
        <v>4.8025367658138531</v>
      </c>
    </row>
    <row r="66" spans="1:3" x14ac:dyDescent="0.3">
      <c r="A66" s="25">
        <v>185</v>
      </c>
      <c r="B66" s="2">
        <v>13.258521480497071</v>
      </c>
      <c r="C66" s="2">
        <f t="shared" si="0"/>
        <v>7.5986568737748916</v>
      </c>
    </row>
    <row r="67" spans="1:3" x14ac:dyDescent="0.3">
      <c r="A67" s="25">
        <v>190</v>
      </c>
      <c r="B67" s="2">
        <v>13.073760034101062</v>
      </c>
      <c r="C67" s="2">
        <f t="shared" si="0"/>
        <v>5.1538960473838173</v>
      </c>
    </row>
    <row r="68" spans="1:3" x14ac:dyDescent="0.3">
      <c r="A68" s="25">
        <v>195</v>
      </c>
      <c r="B68" s="2">
        <v>13.02086300358892</v>
      </c>
      <c r="C68" s="2">
        <f t="shared" si="0"/>
        <v>4.4826032654289509</v>
      </c>
    </row>
    <row r="69" spans="1:3" x14ac:dyDescent="0.3">
      <c r="A69" s="25">
        <v>200</v>
      </c>
      <c r="B69" s="2">
        <v>12.9853296556839</v>
      </c>
      <c r="C69" s="2">
        <f t="shared" si="0"/>
        <v>4.0371913686796912</v>
      </c>
    </row>
    <row r="70" spans="1:3" x14ac:dyDescent="0.3">
      <c r="A70" s="25">
        <v>210</v>
      </c>
      <c r="B70" s="2">
        <v>12.984515280597186</v>
      </c>
      <c r="C70" s="2">
        <f t="shared" si="0"/>
        <v>4.1250887025675036</v>
      </c>
    </row>
    <row r="71" spans="1:3" x14ac:dyDescent="0.3">
      <c r="A71" s="25">
        <v>220</v>
      </c>
      <c r="B71" s="2">
        <v>12.620309137228917</v>
      </c>
      <c r="C71" s="2">
        <f t="shared" si="0"/>
        <v>-1.1798872042220185</v>
      </c>
    </row>
    <row r="72" spans="1:3" x14ac:dyDescent="0.3">
      <c r="A72" s="25">
        <v>230</v>
      </c>
      <c r="B72" s="2">
        <v>12.709090845463376</v>
      </c>
      <c r="C72" s="2">
        <f t="shared" si="0"/>
        <v>0.14003643611165531</v>
      </c>
    </row>
    <row r="73" spans="1:3" x14ac:dyDescent="0.3">
      <c r="A73" s="25">
        <v>240</v>
      </c>
      <c r="B73" s="2">
        <v>13.005231492265617</v>
      </c>
      <c r="C73" s="2">
        <f t="shared" si="0"/>
        <v>4.7308394897417667</v>
      </c>
    </row>
    <row r="74" spans="1:3" x14ac:dyDescent="0.3">
      <c r="A74" s="25">
        <v>250</v>
      </c>
      <c r="B74" s="2">
        <v>12.928695030844766</v>
      </c>
      <c r="C74" s="2">
        <f t="shared" si="0"/>
        <v>3.6182451246675482</v>
      </c>
    </row>
    <row r="75" spans="1:3" x14ac:dyDescent="0.3">
      <c r="A75" s="25">
        <v>260</v>
      </c>
      <c r="B75" s="2">
        <v>13.123929600964532</v>
      </c>
      <c r="C75" s="2">
        <f t="shared" si="0"/>
        <v>6.8379633504959925</v>
      </c>
    </row>
    <row r="76" spans="1:3" x14ac:dyDescent="0.3">
      <c r="A76" s="25">
        <v>270</v>
      </c>
      <c r="B76" s="2">
        <v>12.7001233654739</v>
      </c>
      <c r="C76" s="2">
        <f t="shared" si="0"/>
        <v>4.374920193167907E-3</v>
      </c>
    </row>
    <row r="77" spans="1:3" x14ac:dyDescent="0.3">
      <c r="A77" s="25">
        <v>280</v>
      </c>
      <c r="B77" s="2">
        <v>13.394769960700454</v>
      </c>
      <c r="C77" s="2">
        <f t="shared" si="0"/>
        <v>11.628115976535444</v>
      </c>
    </row>
    <row r="78" spans="1:3" x14ac:dyDescent="0.3">
      <c r="A78" s="25">
        <v>290</v>
      </c>
      <c r="B78" s="2">
        <v>13.474654184924582</v>
      </c>
      <c r="C78" s="2">
        <f t="shared" si="0"/>
        <v>13.194318636628656</v>
      </c>
    </row>
    <row r="79" spans="1:3" x14ac:dyDescent="0.3">
      <c r="A79" s="25">
        <v>300</v>
      </c>
      <c r="B79" s="2">
        <v>13.181252298601363</v>
      </c>
      <c r="C79" s="2">
        <f t="shared" si="0"/>
        <v>8.3380091424790432</v>
      </c>
    </row>
    <row r="80" spans="1:3" x14ac:dyDescent="0.3">
      <c r="A80" s="25">
        <v>310</v>
      </c>
      <c r="B80" s="2">
        <v>12.970620425623771</v>
      </c>
      <c r="C80" s="2">
        <f t="shared" si="0"/>
        <v>4.767279999948185</v>
      </c>
    </row>
    <row r="81" spans="1:3" x14ac:dyDescent="0.3">
      <c r="A81" s="25">
        <v>320</v>
      </c>
      <c r="B81" s="2">
        <v>13.096033703235813</v>
      </c>
      <c r="C81" s="2">
        <f t="shared" si="0"/>
        <v>7.087022235683726</v>
      </c>
    </row>
    <row r="82" spans="1:3" x14ac:dyDescent="0.3">
      <c r="A82" s="25">
        <v>330</v>
      </c>
      <c r="B82" s="2">
        <v>12.897040907607289</v>
      </c>
      <c r="C82" s="2">
        <f t="shared" si="0"/>
        <v>3.5820214532651535</v>
      </c>
    </row>
    <row r="83" spans="1:3" x14ac:dyDescent="0.3">
      <c r="A83" s="25">
        <v>340</v>
      </c>
      <c r="B83" s="2">
        <v>12.795121417311686</v>
      </c>
      <c r="C83" s="2">
        <f t="shared" si="0"/>
        <v>1.756586916560013</v>
      </c>
    </row>
    <row r="84" spans="1:3" x14ac:dyDescent="0.3">
      <c r="A84" s="25">
        <v>350</v>
      </c>
      <c r="B84" s="2">
        <v>12.66468372659493</v>
      </c>
      <c r="C84" s="2">
        <f t="shared" si="0"/>
        <v>-0.65803386722222013</v>
      </c>
    </row>
    <row r="85" spans="1:3" x14ac:dyDescent="0.3">
      <c r="A85" s="25">
        <v>360</v>
      </c>
      <c r="B85" s="2">
        <v>12.864728972386386</v>
      </c>
      <c r="C85" s="2">
        <f t="shared" si="0"/>
        <v>3.1282235235692979</v>
      </c>
    </row>
    <row r="86" spans="1:3" x14ac:dyDescent="0.3">
      <c r="A86" s="25">
        <v>370</v>
      </c>
      <c r="B86" s="2">
        <v>12.935193465880262</v>
      </c>
      <c r="C86" s="2">
        <f t="shared" si="0"/>
        <v>4.5267850676599846</v>
      </c>
    </row>
    <row r="87" spans="1:3" x14ac:dyDescent="0.3">
      <c r="A87" s="25">
        <v>380</v>
      </c>
      <c r="B87" s="2">
        <v>12.785847383494414</v>
      </c>
      <c r="C87" s="2">
        <f t="shared" si="0"/>
        <v>1.6762588998076089</v>
      </c>
    </row>
    <row r="88" spans="1:3" x14ac:dyDescent="0.3">
      <c r="A88" s="25">
        <v>390</v>
      </c>
      <c r="B88" s="2">
        <v>12.69341977587689</v>
      </c>
      <c r="C88" s="2">
        <f t="shared" ref="C88:C151" si="1">($B88-BS_Price)*($A88^$A$21)</f>
        <v>-0.12712728747626931</v>
      </c>
    </row>
    <row r="89" spans="1:3" x14ac:dyDescent="0.3">
      <c r="A89" s="25">
        <v>400</v>
      </c>
      <c r="B89" s="2">
        <v>12.835891573398735</v>
      </c>
      <c r="C89" s="2">
        <f t="shared" si="1"/>
        <v>2.7206891417791113</v>
      </c>
    </row>
    <row r="90" spans="1:3" x14ac:dyDescent="0.3">
      <c r="A90" s="25">
        <v>410</v>
      </c>
      <c r="B90" s="2">
        <v>12.914375727993392</v>
      </c>
      <c r="C90" s="2">
        <f t="shared" si="1"/>
        <v>4.3436708267377266</v>
      </c>
    </row>
    <row r="91" spans="1:3" x14ac:dyDescent="0.3">
      <c r="A91" s="25">
        <v>420</v>
      </c>
      <c r="B91" s="2">
        <v>13.124412158167335</v>
      </c>
      <c r="C91" s="2">
        <f t="shared" si="1"/>
        <v>8.7007892227085737</v>
      </c>
    </row>
    <row r="92" spans="1:3" x14ac:dyDescent="0.3">
      <c r="A92" s="25">
        <v>430</v>
      </c>
      <c r="B92" s="2">
        <v>12.933917153985361</v>
      </c>
      <c r="C92" s="2">
        <f t="shared" si="1"/>
        <v>4.853572244417367</v>
      </c>
    </row>
    <row r="93" spans="1:3" x14ac:dyDescent="0.3">
      <c r="A93" s="25">
        <v>440</v>
      </c>
      <c r="B93" s="2">
        <v>12.804419862717822</v>
      </c>
      <c r="C93" s="2">
        <f t="shared" si="1"/>
        <v>2.1933266724345346</v>
      </c>
    </row>
    <row r="94" spans="1:3" x14ac:dyDescent="0.3">
      <c r="A94" s="25">
        <v>450</v>
      </c>
      <c r="B94" s="2">
        <v>13.395134102159968</v>
      </c>
      <c r="C94" s="2">
        <f t="shared" si="1"/>
        <v>14.749052144928353</v>
      </c>
    </row>
    <row r="95" spans="1:3" x14ac:dyDescent="0.3">
      <c r="A95" s="25">
        <v>460</v>
      </c>
      <c r="B95" s="2">
        <v>13.341542890937099</v>
      </c>
      <c r="C95" s="2">
        <f t="shared" si="1"/>
        <v>13.762626615045871</v>
      </c>
    </row>
    <row r="96" spans="1:3" x14ac:dyDescent="0.3">
      <c r="A96" s="25">
        <v>470</v>
      </c>
      <c r="B96" s="2">
        <v>13.247179129169469</v>
      </c>
      <c r="C96" s="2">
        <f t="shared" si="1"/>
        <v>11.865658486049886</v>
      </c>
    </row>
    <row r="97" spans="1:3" x14ac:dyDescent="0.3">
      <c r="A97" s="25">
        <v>480</v>
      </c>
      <c r="B97" s="2">
        <v>13.351332805996265</v>
      </c>
      <c r="C97" s="2">
        <f t="shared" si="1"/>
        <v>14.273117236300948</v>
      </c>
    </row>
    <row r="98" spans="1:3" x14ac:dyDescent="0.3">
      <c r="A98" s="25">
        <v>490</v>
      </c>
      <c r="B98" s="2">
        <v>13.166689259719307</v>
      </c>
      <c r="C98" s="2">
        <f t="shared" si="1"/>
        <v>10.333770007067299</v>
      </c>
    </row>
    <row r="99" spans="1:3" x14ac:dyDescent="0.3">
      <c r="A99" s="25">
        <v>500</v>
      </c>
      <c r="B99" s="2">
        <v>13.333083415283459</v>
      </c>
      <c r="C99" s="2">
        <f t="shared" si="1"/>
        <v>14.159370496457541</v>
      </c>
    </row>
    <row r="100" spans="1:3" x14ac:dyDescent="0.3">
      <c r="A100" s="25">
        <v>525</v>
      </c>
      <c r="B100" s="2">
        <v>13.358963578997482</v>
      </c>
      <c r="C100" s="2">
        <f t="shared" si="1"/>
        <v>15.102026281504925</v>
      </c>
    </row>
    <row r="101" spans="1:3" x14ac:dyDescent="0.3">
      <c r="A101" s="25">
        <v>550</v>
      </c>
      <c r="B101" s="2">
        <v>13.071274934624688</v>
      </c>
      <c r="C101" s="2">
        <f t="shared" si="1"/>
        <v>8.7105199425174078</v>
      </c>
    </row>
    <row r="102" spans="1:3" x14ac:dyDescent="0.3">
      <c r="A102" s="25">
        <v>575</v>
      </c>
      <c r="B102" s="2">
        <v>13.275597589456693</v>
      </c>
      <c r="C102" s="2">
        <f t="shared" si="1"/>
        <v>13.805771551824737</v>
      </c>
    </row>
    <row r="103" spans="1:3" x14ac:dyDescent="0.3">
      <c r="A103" s="25">
        <v>600</v>
      </c>
      <c r="B103" s="2">
        <v>13.266719542550128</v>
      </c>
      <c r="C103" s="2">
        <f t="shared" si="1"/>
        <v>13.88523698644919</v>
      </c>
    </row>
    <row r="104" spans="1:3" x14ac:dyDescent="0.3">
      <c r="A104" s="25">
        <v>625</v>
      </c>
      <c r="B104" s="2">
        <v>13.098830687642529</v>
      </c>
      <c r="C104" s="2">
        <f t="shared" si="1"/>
        <v>9.974339283318745</v>
      </c>
    </row>
    <row r="105" spans="1:3" x14ac:dyDescent="0.3">
      <c r="A105" s="25">
        <v>650</v>
      </c>
      <c r="B105" s="2">
        <v>13.139377907008546</v>
      </c>
      <c r="C105" s="2">
        <f t="shared" si="1"/>
        <v>11.20562544201371</v>
      </c>
    </row>
    <row r="106" spans="1:3" x14ac:dyDescent="0.3">
      <c r="A106" s="25">
        <v>675</v>
      </c>
      <c r="B106" s="2">
        <v>13.298280433693263</v>
      </c>
      <c r="C106" s="2">
        <f t="shared" si="1"/>
        <v>15.547493852131636</v>
      </c>
    </row>
    <row r="107" spans="1:3" x14ac:dyDescent="0.3">
      <c r="A107" s="25">
        <v>700</v>
      </c>
      <c r="B107" s="2">
        <v>13.329338561978952</v>
      </c>
      <c r="C107" s="2">
        <f t="shared" si="1"/>
        <v>16.654513601700479</v>
      </c>
    </row>
    <row r="108" spans="1:3" x14ac:dyDescent="0.3">
      <c r="A108" s="25">
        <v>725</v>
      </c>
      <c r="B108" s="2">
        <v>13.564595030470549</v>
      </c>
      <c r="C108" s="2">
        <f t="shared" si="1"/>
        <v>23.283780913667382</v>
      </c>
    </row>
    <row r="109" spans="1:3" x14ac:dyDescent="0.3">
      <c r="A109" s="25">
        <v>750</v>
      </c>
      <c r="B109" s="2">
        <v>13.643103042306176</v>
      </c>
      <c r="C109" s="2">
        <f t="shared" si="1"/>
        <v>25.831853547153763</v>
      </c>
    </row>
    <row r="110" spans="1:3" x14ac:dyDescent="0.3">
      <c r="A110" s="25">
        <v>775</v>
      </c>
      <c r="B110" s="2">
        <v>13.466215591463326</v>
      </c>
      <c r="C110" s="2">
        <f t="shared" si="1"/>
        <v>21.33451703556338</v>
      </c>
    </row>
    <row r="111" spans="1:3" x14ac:dyDescent="0.3">
      <c r="A111" s="25">
        <v>800</v>
      </c>
      <c r="B111" s="2">
        <v>13.65179863036666</v>
      </c>
      <c r="C111" s="2">
        <f t="shared" si="1"/>
        <v>26.924971995304372</v>
      </c>
    </row>
    <row r="112" spans="1:3" x14ac:dyDescent="0.3">
      <c r="A112" s="25">
        <v>825</v>
      </c>
      <c r="B112" s="2">
        <v>13.612364750296596</v>
      </c>
      <c r="C112" s="2">
        <f t="shared" si="1"/>
        <v>26.209786344407309</v>
      </c>
    </row>
    <row r="113" spans="1:3" x14ac:dyDescent="0.3">
      <c r="A113" s="25">
        <v>850</v>
      </c>
      <c r="B113" s="2">
        <v>13.509087188476954</v>
      </c>
      <c r="C113" s="2">
        <f t="shared" si="1"/>
        <v>23.592908113344937</v>
      </c>
    </row>
    <row r="114" spans="1:3" x14ac:dyDescent="0.3">
      <c r="A114" s="25">
        <v>875</v>
      </c>
      <c r="B114" s="2">
        <v>13.595257545428023</v>
      </c>
      <c r="C114" s="2">
        <f t="shared" si="1"/>
        <v>26.486301882425806</v>
      </c>
    </row>
    <row r="115" spans="1:3" x14ac:dyDescent="0.3">
      <c r="A115" s="25">
        <v>900</v>
      </c>
      <c r="B115" s="2">
        <v>13.329762415550363</v>
      </c>
      <c r="C115" s="2">
        <f t="shared" si="1"/>
        <v>18.897158977217501</v>
      </c>
    </row>
    <row r="116" spans="1:3" x14ac:dyDescent="0.3">
      <c r="A116" s="25">
        <v>925</v>
      </c>
      <c r="B116" s="2">
        <v>13.556173874666486</v>
      </c>
      <c r="C116" s="2">
        <f t="shared" si="1"/>
        <v>26.043857458993056</v>
      </c>
    </row>
    <row r="117" spans="1:3" x14ac:dyDescent="0.3">
      <c r="A117" s="25">
        <v>950</v>
      </c>
      <c r="B117" s="2">
        <v>13.600597934625693</v>
      </c>
      <c r="C117" s="2">
        <f t="shared" si="1"/>
        <v>27.762696567361761</v>
      </c>
    </row>
    <row r="118" spans="1:3" x14ac:dyDescent="0.3">
      <c r="A118" s="25">
        <v>975</v>
      </c>
      <c r="B118" s="2">
        <v>13.450363036218157</v>
      </c>
      <c r="C118" s="2">
        <f t="shared" si="1"/>
        <v>23.434539838069828</v>
      </c>
    </row>
    <row r="119" spans="1:3" x14ac:dyDescent="0.3">
      <c r="A119" s="25">
        <v>1000</v>
      </c>
      <c r="B119" s="2">
        <v>13.370642812531665</v>
      </c>
      <c r="C119" s="2">
        <f t="shared" si="1"/>
        <v>21.212106219229625</v>
      </c>
    </row>
    <row r="120" spans="1:3" x14ac:dyDescent="0.3">
      <c r="A120" s="25">
        <v>1050</v>
      </c>
      <c r="B120" s="2">
        <v>13.361022078454244</v>
      </c>
      <c r="C120" s="2">
        <f t="shared" si="1"/>
        <v>21.424193392654626</v>
      </c>
    </row>
    <row r="121" spans="1:3" x14ac:dyDescent="0.3">
      <c r="A121" s="25">
        <v>1100</v>
      </c>
      <c r="B121" s="2">
        <v>13.27850070570617</v>
      </c>
      <c r="C121" s="2">
        <f t="shared" si="1"/>
        <v>19.191436733723009</v>
      </c>
    </row>
    <row r="122" spans="1:3" x14ac:dyDescent="0.3">
      <c r="A122" s="25">
        <v>1150</v>
      </c>
      <c r="B122" s="2">
        <v>13.2342560797996</v>
      </c>
      <c r="C122" s="2">
        <f t="shared" si="1"/>
        <v>18.122350565140383</v>
      </c>
    </row>
    <row r="123" spans="1:3" x14ac:dyDescent="0.3">
      <c r="A123" s="25">
        <v>1200</v>
      </c>
      <c r="B123" s="2">
        <v>13.181986264413586</v>
      </c>
      <c r="C123" s="2">
        <f t="shared" si="1"/>
        <v>16.701443606513877</v>
      </c>
    </row>
    <row r="124" spans="1:3" x14ac:dyDescent="0.3">
      <c r="A124" s="25">
        <v>1250</v>
      </c>
      <c r="B124" s="2">
        <v>13.237748857210347</v>
      </c>
      <c r="C124" s="2">
        <f t="shared" si="1"/>
        <v>19.017344876751441</v>
      </c>
    </row>
    <row r="125" spans="1:3" x14ac:dyDescent="0.3">
      <c r="A125" s="25">
        <v>1300</v>
      </c>
      <c r="B125" s="2">
        <v>13.294274090599355</v>
      </c>
      <c r="C125" s="2">
        <f t="shared" si="1"/>
        <v>21.43200879807226</v>
      </c>
    </row>
    <row r="126" spans="1:3" x14ac:dyDescent="0.3">
      <c r="A126" s="25">
        <v>1350</v>
      </c>
      <c r="B126" s="2">
        <v>13.292353037184803</v>
      </c>
      <c r="C126" s="2">
        <f t="shared" si="1"/>
        <v>21.769690212363667</v>
      </c>
    </row>
    <row r="127" spans="1:3" x14ac:dyDescent="0.3">
      <c r="A127" s="25">
        <v>1400</v>
      </c>
      <c r="B127" s="2">
        <v>13.241628695407263</v>
      </c>
      <c r="C127" s="2">
        <f t="shared" si="1"/>
        <v>20.271236308742822</v>
      </c>
    </row>
    <row r="128" spans="1:3" x14ac:dyDescent="0.3">
      <c r="A128" s="25">
        <v>1450</v>
      </c>
      <c r="B128" s="2">
        <v>13.070409870408245</v>
      </c>
      <c r="C128" s="2">
        <f t="shared" si="1"/>
        <v>14.110228494834477</v>
      </c>
    </row>
    <row r="129" spans="1:3" x14ac:dyDescent="0.3">
      <c r="A129" s="25">
        <v>1500</v>
      </c>
      <c r="B129" s="2">
        <v>12.998396261464828</v>
      </c>
      <c r="C129" s="2">
        <f t="shared" si="1"/>
        <v>11.562371373765025</v>
      </c>
    </row>
    <row r="130" spans="1:3" x14ac:dyDescent="0.3">
      <c r="A130" s="25">
        <v>1550</v>
      </c>
      <c r="B130" s="2">
        <v>13.027648356580551</v>
      </c>
      <c r="C130" s="2">
        <f t="shared" si="1"/>
        <v>12.905154034620768</v>
      </c>
    </row>
    <row r="131" spans="1:3" x14ac:dyDescent="0.3">
      <c r="A131" s="25">
        <v>1600</v>
      </c>
      <c r="B131" s="2">
        <v>13.022584918388583</v>
      </c>
      <c r="C131" s="2">
        <f t="shared" si="1"/>
        <v>12.909112083152152</v>
      </c>
    </row>
    <row r="132" spans="1:3" x14ac:dyDescent="0.3">
      <c r="A132" s="25">
        <v>1650</v>
      </c>
      <c r="B132" s="2">
        <v>13.001811215151305</v>
      </c>
      <c r="C132" s="2">
        <f t="shared" si="1"/>
        <v>12.26543347712898</v>
      </c>
    </row>
    <row r="133" spans="1:3" x14ac:dyDescent="0.3">
      <c r="A133" s="25">
        <v>1700</v>
      </c>
      <c r="B133" s="2">
        <v>13.126211906607587</v>
      </c>
      <c r="C133" s="2">
        <f t="shared" si="1"/>
        <v>17.579058343859284</v>
      </c>
    </row>
    <row r="134" spans="1:3" x14ac:dyDescent="0.3">
      <c r="A134" s="25">
        <v>1750</v>
      </c>
      <c r="B134" s="2">
        <v>13.102297267680385</v>
      </c>
      <c r="C134" s="2">
        <f t="shared" si="1"/>
        <v>16.8352793862054</v>
      </c>
    </row>
    <row r="135" spans="1:3" x14ac:dyDescent="0.3">
      <c r="A135" s="25">
        <v>1800</v>
      </c>
      <c r="B135" s="2">
        <v>12.949708445802546</v>
      </c>
      <c r="C135" s="2">
        <f t="shared" si="1"/>
        <v>10.600294162368595</v>
      </c>
    </row>
    <row r="136" spans="1:3" x14ac:dyDescent="0.3">
      <c r="A136" s="25">
        <v>1850</v>
      </c>
      <c r="B136" s="2">
        <v>12.918114542157575</v>
      </c>
      <c r="C136" s="2">
        <f t="shared" si="1"/>
        <v>9.3876068454508736</v>
      </c>
    </row>
    <row r="137" spans="1:3" x14ac:dyDescent="0.3">
      <c r="A137" s="25">
        <v>1900</v>
      </c>
      <c r="B137" s="2">
        <v>12.878390819916728</v>
      </c>
      <c r="C137" s="2">
        <f t="shared" si="1"/>
        <v>7.7821037203873171</v>
      </c>
    </row>
    <row r="138" spans="1:3" x14ac:dyDescent="0.3">
      <c r="A138" s="25">
        <v>1950</v>
      </c>
      <c r="B138" s="2">
        <v>12.780316230750522</v>
      </c>
      <c r="C138" s="2">
        <f t="shared" si="1"/>
        <v>3.5529782912857164</v>
      </c>
    </row>
    <row r="139" spans="1:3" x14ac:dyDescent="0.3">
      <c r="A139" s="25">
        <v>2000</v>
      </c>
      <c r="B139" s="2">
        <v>12.684946445109597</v>
      </c>
      <c r="C139" s="2">
        <f t="shared" si="1"/>
        <v>-0.66682548787511009</v>
      </c>
    </row>
    <row r="140" spans="1:3" x14ac:dyDescent="0.3">
      <c r="A140" s="25">
        <v>2100</v>
      </c>
      <c r="B140" s="2">
        <v>12.609911106926804</v>
      </c>
      <c r="C140" s="2">
        <f t="shared" si="1"/>
        <v>-4.1218439645669385</v>
      </c>
    </row>
    <row r="141" spans="1:3" x14ac:dyDescent="0.3">
      <c r="A141" s="25">
        <v>2200</v>
      </c>
      <c r="B141" s="2">
        <v>12.533354619812986</v>
      </c>
      <c r="C141" s="2">
        <f t="shared" si="1"/>
        <v>-7.8096593361850513</v>
      </c>
    </row>
    <row r="142" spans="1:3" x14ac:dyDescent="0.3">
      <c r="A142" s="25">
        <v>2300</v>
      </c>
      <c r="B142" s="2">
        <v>12.425610624797025</v>
      </c>
      <c r="C142" s="2">
        <f t="shared" si="1"/>
        <v>-13.152399691547789</v>
      </c>
    </row>
    <row r="143" spans="1:3" x14ac:dyDescent="0.3">
      <c r="A143" s="25">
        <v>2400</v>
      </c>
      <c r="B143" s="2">
        <v>12.428623660718477</v>
      </c>
      <c r="C143" s="2">
        <f t="shared" si="1"/>
        <v>-13.287671347410621</v>
      </c>
    </row>
    <row r="144" spans="1:3" x14ac:dyDescent="0.3">
      <c r="A144" s="25">
        <v>2500</v>
      </c>
      <c r="B144" s="2">
        <v>12.428484812216888</v>
      </c>
      <c r="C144" s="2">
        <f t="shared" si="1"/>
        <v>-13.568615204644541</v>
      </c>
    </row>
    <row r="145" spans="1:3" x14ac:dyDescent="0.3">
      <c r="A145" s="25">
        <v>2600</v>
      </c>
      <c r="B145" s="2">
        <v>12.351993840679324</v>
      </c>
      <c r="C145" s="2">
        <f t="shared" si="1"/>
        <v>-17.737616305019987</v>
      </c>
    </row>
    <row r="146" spans="1:3" x14ac:dyDescent="0.3">
      <c r="A146" s="25">
        <v>2700</v>
      </c>
      <c r="B146" s="2">
        <v>12.486041693034311</v>
      </c>
      <c r="C146" s="2">
        <f t="shared" si="1"/>
        <v>-11.110175296648688</v>
      </c>
    </row>
    <row r="147" spans="1:3" x14ac:dyDescent="0.3">
      <c r="A147" s="25">
        <v>2800</v>
      </c>
      <c r="B147" s="2">
        <v>12.424153924976901</v>
      </c>
      <c r="C147" s="2">
        <f t="shared" si="1"/>
        <v>-14.588841598673097</v>
      </c>
    </row>
    <row r="148" spans="1:3" x14ac:dyDescent="0.3">
      <c r="A148" s="25">
        <v>2900</v>
      </c>
      <c r="B148" s="2">
        <v>12.383090473607165</v>
      </c>
      <c r="C148" s="2">
        <f t="shared" si="1"/>
        <v>-17.058405763562671</v>
      </c>
    </row>
    <row r="149" spans="1:3" x14ac:dyDescent="0.3">
      <c r="A149" s="25">
        <v>3000</v>
      </c>
      <c r="B149" s="2">
        <v>12.306785150182998</v>
      </c>
      <c r="C149" s="2">
        <f t="shared" si="1"/>
        <v>-21.529438257054462</v>
      </c>
    </row>
    <row r="150" spans="1:3" x14ac:dyDescent="0.3">
      <c r="A150" s="25">
        <v>3100</v>
      </c>
      <c r="B150" s="2">
        <v>12.528737439886704</v>
      </c>
      <c r="C150" s="2">
        <f t="shared" si="1"/>
        <v>-9.5275403616740117</v>
      </c>
    </row>
    <row r="151" spans="1:3" x14ac:dyDescent="0.3">
      <c r="A151" s="25">
        <v>3200</v>
      </c>
      <c r="B151" s="2">
        <v>12.531837296073967</v>
      </c>
      <c r="C151" s="2">
        <f t="shared" si="1"/>
        <v>-9.5046363409990313</v>
      </c>
    </row>
    <row r="152" spans="1:3" x14ac:dyDescent="0.3">
      <c r="A152" s="25">
        <v>3300</v>
      </c>
      <c r="B152" s="2">
        <v>12.627609412625091</v>
      </c>
      <c r="C152" s="2">
        <f t="shared" ref="C152:C215" si="2">($B152-BS_Price)*($A152^$A$21)</f>
        <v>-4.1503145988520798</v>
      </c>
    </row>
    <row r="153" spans="1:3" x14ac:dyDescent="0.3">
      <c r="A153" s="25">
        <v>3400</v>
      </c>
      <c r="B153" s="2">
        <v>12.644093390920432</v>
      </c>
      <c r="C153" s="2">
        <f t="shared" si="2"/>
        <v>-3.2515560022264869</v>
      </c>
    </row>
    <row r="154" spans="1:3" x14ac:dyDescent="0.3">
      <c r="A154" s="25">
        <v>3500</v>
      </c>
      <c r="B154" s="2">
        <v>12.653495645352315</v>
      </c>
      <c r="C154" s="2">
        <f t="shared" si="2"/>
        <v>-2.7427816104621416</v>
      </c>
    </row>
    <row r="155" spans="1:3" x14ac:dyDescent="0.3">
      <c r="A155" s="25">
        <v>3600</v>
      </c>
      <c r="B155" s="2">
        <v>12.616939926977116</v>
      </c>
      <c r="C155" s="2">
        <f t="shared" si="2"/>
        <v>-4.9750313599598073</v>
      </c>
    </row>
    <row r="156" spans="1:3" x14ac:dyDescent="0.3">
      <c r="A156" s="25">
        <v>3700</v>
      </c>
      <c r="B156" s="2">
        <v>12.642231418398937</v>
      </c>
      <c r="C156" s="2">
        <f t="shared" si="2"/>
        <v>-3.5052343603435303</v>
      </c>
    </row>
    <row r="157" spans="1:3" x14ac:dyDescent="0.3">
      <c r="A157" s="25">
        <v>3800</v>
      </c>
      <c r="B157" s="2">
        <v>12.601278514367781</v>
      </c>
      <c r="C157" s="2">
        <f t="shared" si="2"/>
        <v>-6.0767931420435906</v>
      </c>
    </row>
    <row r="158" spans="1:3" x14ac:dyDescent="0.3">
      <c r="A158" s="25">
        <v>3900</v>
      </c>
      <c r="B158" s="2">
        <v>12.675922603598044</v>
      </c>
      <c r="C158" s="2">
        <f t="shared" si="2"/>
        <v>-1.4947098397742589</v>
      </c>
    </row>
    <row r="159" spans="1:3" x14ac:dyDescent="0.3">
      <c r="A159" s="25">
        <v>4000</v>
      </c>
      <c r="B159" s="2">
        <v>12.586678136686066</v>
      </c>
      <c r="C159" s="2">
        <f t="shared" si="2"/>
        <v>-7.1580671772944129</v>
      </c>
    </row>
    <row r="160" spans="1:3" x14ac:dyDescent="0.3">
      <c r="A160" s="25">
        <v>4100</v>
      </c>
      <c r="B160" s="2">
        <v>12.651287629219919</v>
      </c>
      <c r="C160" s="2">
        <f t="shared" si="2"/>
        <v>-3.1099645998476779</v>
      </c>
    </row>
    <row r="161" spans="1:3" x14ac:dyDescent="0.3">
      <c r="A161" s="25">
        <v>4200</v>
      </c>
      <c r="B161" s="2">
        <v>12.651537618027255</v>
      </c>
      <c r="C161" s="2">
        <f t="shared" si="2"/>
        <v>-3.1314613904620137</v>
      </c>
    </row>
    <row r="162" spans="1:3" x14ac:dyDescent="0.3">
      <c r="A162" s="25">
        <v>4300</v>
      </c>
      <c r="B162" s="2">
        <v>12.767411811194872</v>
      </c>
      <c r="C162" s="2">
        <f t="shared" si="2"/>
        <v>4.4298575873697557</v>
      </c>
    </row>
    <row r="163" spans="1:3" x14ac:dyDescent="0.3">
      <c r="A163" s="25">
        <v>4400</v>
      </c>
      <c r="B163" s="2">
        <v>12.772545906949539</v>
      </c>
      <c r="C163" s="2">
        <f t="shared" si="2"/>
        <v>4.8216289003355852</v>
      </c>
    </row>
    <row r="164" spans="1:3" x14ac:dyDescent="0.3">
      <c r="A164" s="25">
        <v>4500</v>
      </c>
      <c r="B164" s="2">
        <v>12.816073830061091</v>
      </c>
      <c r="C164" s="2">
        <f t="shared" si="2"/>
        <v>7.7960541620870414</v>
      </c>
    </row>
    <row r="165" spans="1:3" x14ac:dyDescent="0.3">
      <c r="A165" s="25">
        <v>4600</v>
      </c>
      <c r="B165" s="2">
        <v>12.707549863624944</v>
      </c>
      <c r="C165" s="2">
        <f t="shared" si="2"/>
        <v>0.52174750768249267</v>
      </c>
    </row>
    <row r="166" spans="1:3" x14ac:dyDescent="0.3">
      <c r="A166" s="25">
        <v>4700</v>
      </c>
      <c r="B166" s="2">
        <v>12.753714554838732</v>
      </c>
      <c r="C166" s="2">
        <f t="shared" si="2"/>
        <v>3.6922799621682985</v>
      </c>
    </row>
    <row r="167" spans="1:3" x14ac:dyDescent="0.3">
      <c r="A167" s="25">
        <v>4800</v>
      </c>
      <c r="B167" s="2">
        <v>12.733190907192469</v>
      </c>
      <c r="C167" s="2">
        <f t="shared" si="2"/>
        <v>2.3094327767078009</v>
      </c>
    </row>
    <row r="168" spans="1:3" x14ac:dyDescent="0.3">
      <c r="A168" s="25">
        <v>4900</v>
      </c>
      <c r="B168" s="2">
        <v>12.812456633443349</v>
      </c>
      <c r="C168" s="2">
        <f t="shared" si="2"/>
        <v>7.8819661993498435</v>
      </c>
    </row>
    <row r="169" spans="1:3" x14ac:dyDescent="0.3">
      <c r="A169" s="25">
        <v>5000</v>
      </c>
      <c r="B169" s="2">
        <v>12.779982597915589</v>
      </c>
      <c r="C169" s="2">
        <f t="shared" si="2"/>
        <v>5.6657271389306318</v>
      </c>
    </row>
    <row r="170" spans="1:3" x14ac:dyDescent="0.3">
      <c r="A170" s="25">
        <v>5250</v>
      </c>
      <c r="B170" s="2">
        <v>12.820168341770108</v>
      </c>
      <c r="C170" s="2">
        <f t="shared" si="2"/>
        <v>8.7173764747068105</v>
      </c>
    </row>
    <row r="171" spans="1:3" x14ac:dyDescent="0.3">
      <c r="A171" s="25">
        <v>5500</v>
      </c>
      <c r="B171" s="2">
        <v>12.855206553107239</v>
      </c>
      <c r="C171" s="2">
        <f t="shared" si="2"/>
        <v>11.521022581484841</v>
      </c>
    </row>
    <row r="172" spans="1:3" x14ac:dyDescent="0.3">
      <c r="A172" s="25">
        <v>5750</v>
      </c>
      <c r="B172" s="2">
        <v>12.911753839872507</v>
      </c>
      <c r="C172" s="2">
        <f t="shared" si="2"/>
        <v>16.067864617787851</v>
      </c>
    </row>
    <row r="173" spans="1:3" x14ac:dyDescent="0.3">
      <c r="A173" s="25">
        <v>6000</v>
      </c>
      <c r="B173" s="2">
        <v>12.84268057228976</v>
      </c>
      <c r="C173" s="2">
        <f t="shared" si="2"/>
        <v>11.063057329165074</v>
      </c>
    </row>
    <row r="174" spans="1:3" x14ac:dyDescent="0.3">
      <c r="A174" s="25">
        <v>6250</v>
      </c>
      <c r="B174" s="2">
        <v>12.747004311314653</v>
      </c>
      <c r="C174" s="2">
        <f t="shared" si="2"/>
        <v>3.7273130375878352</v>
      </c>
    </row>
    <row r="175" spans="1:3" x14ac:dyDescent="0.3">
      <c r="A175" s="25">
        <v>6500</v>
      </c>
      <c r="B175" s="2">
        <v>12.741029917445752</v>
      </c>
      <c r="C175" s="2">
        <f t="shared" si="2"/>
        <v>3.3194573497765445</v>
      </c>
    </row>
    <row r="176" spans="1:3" x14ac:dyDescent="0.3">
      <c r="A176" s="25">
        <v>6750</v>
      </c>
      <c r="B176" s="2">
        <v>12.770834164764572</v>
      </c>
      <c r="C176" s="2">
        <f t="shared" si="2"/>
        <v>5.8313595755741092</v>
      </c>
    </row>
    <row r="177" spans="1:3" x14ac:dyDescent="0.3">
      <c r="A177" s="25">
        <v>7000</v>
      </c>
      <c r="B177" s="2">
        <v>12.740751872482827</v>
      </c>
      <c r="C177" s="2">
        <f t="shared" si="2"/>
        <v>3.421500778484647</v>
      </c>
    </row>
    <row r="178" spans="1:3" x14ac:dyDescent="0.3">
      <c r="A178" s="25">
        <v>7250</v>
      </c>
      <c r="B178" s="2">
        <v>12.667517495654034</v>
      </c>
      <c r="C178" s="2">
        <f t="shared" si="2"/>
        <v>-2.7536194753709471</v>
      </c>
    </row>
    <row r="179" spans="1:3" x14ac:dyDescent="0.3">
      <c r="A179" s="25">
        <v>7500</v>
      </c>
      <c r="B179" s="2">
        <v>12.635766377468935</v>
      </c>
      <c r="C179" s="2">
        <f t="shared" si="2"/>
        <v>-5.5504207983485543</v>
      </c>
    </row>
    <row r="180" spans="1:3" x14ac:dyDescent="0.3">
      <c r="A180" s="25">
        <v>7750</v>
      </c>
      <c r="B180" s="2">
        <v>12.639597084294742</v>
      </c>
      <c r="C180" s="2">
        <f t="shared" si="2"/>
        <v>-5.3049367388323496</v>
      </c>
    </row>
    <row r="181" spans="1:3" x14ac:dyDescent="0.3">
      <c r="A181" s="25">
        <v>8000</v>
      </c>
      <c r="B181" s="2">
        <v>12.672051531444014</v>
      </c>
      <c r="C181" s="2">
        <f t="shared" si="2"/>
        <v>-2.4870071165596368</v>
      </c>
    </row>
    <row r="182" spans="1:3" x14ac:dyDescent="0.3">
      <c r="A182" s="25">
        <v>8250</v>
      </c>
      <c r="B182" s="2">
        <v>12.702793021736632</v>
      </c>
      <c r="C182" s="2">
        <f t="shared" si="2"/>
        <v>0.26666685315620287</v>
      </c>
    </row>
    <row r="183" spans="1:3" x14ac:dyDescent="0.3">
      <c r="A183" s="25">
        <v>8500</v>
      </c>
      <c r="B183" s="2">
        <v>12.700272945670335</v>
      </c>
      <c r="C183" s="2">
        <f t="shared" si="2"/>
        <v>3.8337572762902082E-2</v>
      </c>
    </row>
    <row r="184" spans="1:3" x14ac:dyDescent="0.3">
      <c r="A184" s="25">
        <v>8750</v>
      </c>
      <c r="B184" s="2">
        <v>12.706499744517503</v>
      </c>
      <c r="C184" s="2">
        <f t="shared" si="2"/>
        <v>0.62136097252553324</v>
      </c>
    </row>
    <row r="185" spans="1:3" x14ac:dyDescent="0.3">
      <c r="A185" s="25">
        <v>9000</v>
      </c>
      <c r="B185" s="2">
        <v>12.732539601204429</v>
      </c>
      <c r="C185" s="2">
        <f t="shared" si="2"/>
        <v>3.1005327558342741</v>
      </c>
    </row>
    <row r="186" spans="1:3" x14ac:dyDescent="0.3">
      <c r="A186" s="25">
        <v>9250</v>
      </c>
      <c r="B186" s="2">
        <v>12.80567150661456</v>
      </c>
      <c r="C186" s="2">
        <f t="shared" si="2"/>
        <v>10.176902183820278</v>
      </c>
    </row>
    <row r="187" spans="1:3" x14ac:dyDescent="0.3">
      <c r="A187" s="25">
        <v>9500</v>
      </c>
      <c r="B187" s="2">
        <v>12.75967360789558</v>
      </c>
      <c r="C187" s="2">
        <f t="shared" si="2"/>
        <v>5.8301904191479865</v>
      </c>
    </row>
    <row r="188" spans="1:3" x14ac:dyDescent="0.3">
      <c r="A188" s="25">
        <v>9750</v>
      </c>
      <c r="B188" s="2">
        <v>12.734773501984259</v>
      </c>
      <c r="C188" s="2">
        <f t="shared" si="2"/>
        <v>3.4477168370601383</v>
      </c>
    </row>
    <row r="189" spans="1:3" x14ac:dyDescent="0.3">
      <c r="A189" s="25">
        <v>10000</v>
      </c>
      <c r="B189" s="2">
        <v>12.766415647411449</v>
      </c>
      <c r="C189" s="2">
        <f t="shared" si="2"/>
        <v>6.6558531101669871</v>
      </c>
    </row>
    <row r="190" spans="1:3" x14ac:dyDescent="0.3">
      <c r="A190" s="25">
        <v>10500</v>
      </c>
      <c r="B190" s="2">
        <v>12.74799106728045</v>
      </c>
      <c r="C190" s="2">
        <f t="shared" si="2"/>
        <v>4.9322622576757977</v>
      </c>
    </row>
    <row r="191" spans="1:3" x14ac:dyDescent="0.3">
      <c r="A191" s="25">
        <v>11000</v>
      </c>
      <c r="B191" s="2">
        <v>12.742305782687247</v>
      </c>
      <c r="C191" s="2">
        <f t="shared" si="2"/>
        <v>4.4520536889710467</v>
      </c>
    </row>
    <row r="192" spans="1:3" x14ac:dyDescent="0.3">
      <c r="A192" s="25">
        <v>11500</v>
      </c>
      <c r="B192" s="2">
        <v>12.706425081773999</v>
      </c>
      <c r="C192" s="2">
        <f t="shared" si="2"/>
        <v>0.7043358282101867</v>
      </c>
    </row>
    <row r="193" spans="1:3" x14ac:dyDescent="0.3">
      <c r="A193" s="25">
        <v>12000</v>
      </c>
      <c r="B193" s="2">
        <v>12.741903634962039</v>
      </c>
      <c r="C193" s="2">
        <f t="shared" si="2"/>
        <v>4.6059653460808851</v>
      </c>
    </row>
    <row r="194" spans="1:3" x14ac:dyDescent="0.3">
      <c r="A194" s="25">
        <v>12500</v>
      </c>
      <c r="B194" s="2">
        <v>12.725812731342518</v>
      </c>
      <c r="C194" s="2">
        <f t="shared" si="2"/>
        <v>2.9019259805510065</v>
      </c>
    </row>
    <row r="195" spans="1:3" x14ac:dyDescent="0.3">
      <c r="A195" s="25">
        <v>13000</v>
      </c>
      <c r="B195" s="2">
        <v>12.710058214104054</v>
      </c>
      <c r="C195" s="2">
        <f t="shared" si="2"/>
        <v>1.1631041014064647</v>
      </c>
    </row>
    <row r="196" spans="1:3" x14ac:dyDescent="0.3">
      <c r="A196" s="25">
        <v>13500</v>
      </c>
      <c r="B196" s="2">
        <v>12.702689966150377</v>
      </c>
      <c r="C196" s="2">
        <f t="shared" si="2"/>
        <v>0.32914740764822725</v>
      </c>
    </row>
    <row r="197" spans="1:3" x14ac:dyDescent="0.3">
      <c r="A197" s="25">
        <v>14000</v>
      </c>
      <c r="B197" s="2">
        <v>12.712279914603911</v>
      </c>
      <c r="C197" s="2">
        <f t="shared" si="2"/>
        <v>1.469885316748782</v>
      </c>
    </row>
    <row r="198" spans="1:3" x14ac:dyDescent="0.3">
      <c r="A198" s="25">
        <v>14500</v>
      </c>
      <c r="B198" s="2">
        <v>12.691707710991983</v>
      </c>
      <c r="C198" s="2">
        <f t="shared" si="2"/>
        <v>-0.98131834895160885</v>
      </c>
    </row>
    <row r="199" spans="1:3" x14ac:dyDescent="0.3">
      <c r="A199" s="25">
        <v>15000</v>
      </c>
      <c r="B199" s="2">
        <v>12.659814501146496</v>
      </c>
      <c r="C199" s="2">
        <f t="shared" si="2"/>
        <v>-4.9041987558338613</v>
      </c>
    </row>
    <row r="200" spans="1:3" x14ac:dyDescent="0.3">
      <c r="A200" s="25">
        <v>15500</v>
      </c>
      <c r="B200" s="2">
        <v>12.686722904705022</v>
      </c>
      <c r="C200" s="2">
        <f t="shared" si="2"/>
        <v>-1.6351961577797178</v>
      </c>
    </row>
    <row r="201" spans="1:3" x14ac:dyDescent="0.3">
      <c r="A201" s="25">
        <v>16000</v>
      </c>
      <c r="B201" s="2">
        <v>12.711263062694107</v>
      </c>
      <c r="C201" s="2">
        <f t="shared" si="2"/>
        <v>1.4427507777694528</v>
      </c>
    </row>
    <row r="202" spans="1:3" x14ac:dyDescent="0.3">
      <c r="A202" s="25">
        <v>16500</v>
      </c>
      <c r="B202" s="2">
        <v>12.668364019149472</v>
      </c>
      <c r="C202" s="2">
        <f t="shared" si="2"/>
        <v>-4.0453615764664912</v>
      </c>
    </row>
    <row r="203" spans="1:3" x14ac:dyDescent="0.3">
      <c r="A203" s="25">
        <v>17000</v>
      </c>
      <c r="B203" s="2">
        <v>12.660168990978315</v>
      </c>
      <c r="C203" s="2">
        <f t="shared" si="2"/>
        <v>-5.1746984423773199</v>
      </c>
    </row>
    <row r="204" spans="1:3" x14ac:dyDescent="0.3">
      <c r="A204" s="25">
        <v>17500</v>
      </c>
      <c r="B204" s="2">
        <v>12.663279149933924</v>
      </c>
      <c r="C204" s="2">
        <f t="shared" si="2"/>
        <v>-4.8388101247497701</v>
      </c>
    </row>
    <row r="205" spans="1:3" x14ac:dyDescent="0.3">
      <c r="A205" s="25">
        <v>18000</v>
      </c>
      <c r="B205" s="2">
        <v>12.674055987987254</v>
      </c>
      <c r="C205" s="2">
        <f t="shared" si="2"/>
        <v>-3.4615846095217222</v>
      </c>
    </row>
    <row r="206" spans="1:3" x14ac:dyDescent="0.3">
      <c r="A206" s="25">
        <v>18500</v>
      </c>
      <c r="B206" s="2">
        <v>12.669793759612491</v>
      </c>
      <c r="C206" s="2">
        <f t="shared" si="2"/>
        <v>-4.089058595117673</v>
      </c>
    </row>
    <row r="207" spans="1:3" x14ac:dyDescent="0.3">
      <c r="A207" s="25">
        <v>19000</v>
      </c>
      <c r="B207" s="2">
        <v>12.681204079068248</v>
      </c>
      <c r="C207" s="2">
        <f t="shared" si="2"/>
        <v>-2.5711437471182093</v>
      </c>
    </row>
    <row r="208" spans="1:3" x14ac:dyDescent="0.3">
      <c r="A208" s="25">
        <v>19500</v>
      </c>
      <c r="B208" s="2">
        <v>12.69178027945796</v>
      </c>
      <c r="C208" s="2">
        <f t="shared" si="2"/>
        <v>-1.1278688859315851</v>
      </c>
    </row>
    <row r="209" spans="1:3" x14ac:dyDescent="0.3">
      <c r="A209" s="25">
        <v>20000</v>
      </c>
      <c r="B209" s="2">
        <v>12.694120608658935</v>
      </c>
      <c r="C209" s="2">
        <f t="shared" si="2"/>
        <v>-0.81126469204815388</v>
      </c>
    </row>
    <row r="210" spans="1:3" x14ac:dyDescent="0.3">
      <c r="A210" s="25">
        <v>21000</v>
      </c>
      <c r="B210" s="2">
        <v>12.643953651001683</v>
      </c>
      <c r="C210" s="2">
        <f t="shared" si="2"/>
        <v>-8.1011817719716142</v>
      </c>
    </row>
    <row r="211" spans="1:3" x14ac:dyDescent="0.3">
      <c r="A211" s="25">
        <v>22000</v>
      </c>
      <c r="B211" s="2">
        <v>12.624631821307666</v>
      </c>
      <c r="C211" s="2">
        <f t="shared" si="2"/>
        <v>-11.157714379719916</v>
      </c>
    </row>
    <row r="212" spans="1:3" x14ac:dyDescent="0.3">
      <c r="A212" s="25">
        <v>23000</v>
      </c>
      <c r="B212" s="2">
        <v>12.610581502433977</v>
      </c>
      <c r="C212" s="2">
        <f t="shared" si="2"/>
        <v>-13.539317204229</v>
      </c>
    </row>
    <row r="213" spans="1:3" x14ac:dyDescent="0.3">
      <c r="A213" s="25">
        <v>24000</v>
      </c>
      <c r="B213" s="2">
        <v>12.637668916056713</v>
      </c>
      <c r="C213" s="2">
        <f t="shared" si="2"/>
        <v>-9.6341545564295341</v>
      </c>
    </row>
    <row r="214" spans="1:3" x14ac:dyDescent="0.3">
      <c r="A214" s="25">
        <v>25000</v>
      </c>
      <c r="B214" s="2">
        <v>12.634907112074231</v>
      </c>
      <c r="C214" s="2">
        <f t="shared" si="2"/>
        <v>-10.26949737109582</v>
      </c>
    </row>
    <row r="215" spans="1:3" x14ac:dyDescent="0.3">
      <c r="A215" s="25">
        <v>26000</v>
      </c>
      <c r="B215" s="2">
        <v>12.606616813856274</v>
      </c>
      <c r="C215" s="2">
        <f t="shared" si="2"/>
        <v>-15.034547018189508</v>
      </c>
    </row>
    <row r="216" spans="1:3" x14ac:dyDescent="0.3">
      <c r="A216" s="25">
        <v>27000</v>
      </c>
      <c r="B216" s="2">
        <v>12.611039019537394</v>
      </c>
      <c r="C216" s="2">
        <f t="shared" ref="C216:C269" si="3">($B216-BS_Price)*($A216^$A$21)</f>
        <v>-14.594302535073698</v>
      </c>
    </row>
    <row r="217" spans="1:3" x14ac:dyDescent="0.3">
      <c r="A217" s="25">
        <v>28000</v>
      </c>
      <c r="B217" s="2">
        <v>12.62526214794331</v>
      </c>
      <c r="C217" s="2">
        <f t="shared" si="3"/>
        <v>-12.482125642559707</v>
      </c>
    </row>
    <row r="218" spans="1:3" x14ac:dyDescent="0.3">
      <c r="A218" s="25">
        <v>29000</v>
      </c>
      <c r="B218" s="2">
        <v>12.640833632987286</v>
      </c>
      <c r="C218" s="2">
        <f t="shared" si="3"/>
        <v>-10.05133702161546</v>
      </c>
    </row>
    <row r="219" spans="1:3" x14ac:dyDescent="0.3">
      <c r="A219" s="25">
        <v>30000</v>
      </c>
      <c r="B219" s="2">
        <v>12.627968724664026</v>
      </c>
      <c r="C219" s="2">
        <f t="shared" si="3"/>
        <v>-12.451434680485518</v>
      </c>
    </row>
    <row r="220" spans="1:3" x14ac:dyDescent="0.3">
      <c r="A220" s="25">
        <v>31000</v>
      </c>
      <c r="B220" s="2">
        <v>12.629386351504632</v>
      </c>
      <c r="C220" s="2">
        <f t="shared" si="3"/>
        <v>-12.407658500252767</v>
      </c>
    </row>
    <row r="221" spans="1:3" x14ac:dyDescent="0.3">
      <c r="A221" s="25">
        <v>32000</v>
      </c>
      <c r="B221" s="2">
        <v>12.634708453055184</v>
      </c>
      <c r="C221" s="2">
        <f t="shared" si="3"/>
        <v>-11.65414717444137</v>
      </c>
    </row>
    <row r="222" spans="1:3" x14ac:dyDescent="0.3">
      <c r="A222" s="25">
        <v>33000</v>
      </c>
      <c r="B222" s="2">
        <v>12.70342630409001</v>
      </c>
      <c r="C222" s="2">
        <f t="shared" si="3"/>
        <v>0.64837515879942331</v>
      </c>
    </row>
    <row r="223" spans="1:3" x14ac:dyDescent="0.3">
      <c r="A223" s="25">
        <v>34000</v>
      </c>
      <c r="B223" s="2">
        <v>12.733542442435114</v>
      </c>
      <c r="C223" s="2">
        <f t="shared" si="3"/>
        <v>6.2112672354186982</v>
      </c>
    </row>
    <row r="224" spans="1:3" x14ac:dyDescent="0.3">
      <c r="A224" s="25">
        <v>35000</v>
      </c>
      <c r="B224" s="2">
        <v>12.725587171047515</v>
      </c>
      <c r="C224" s="2">
        <f t="shared" si="3"/>
        <v>4.813652468577291</v>
      </c>
    </row>
    <row r="225" spans="1:3" x14ac:dyDescent="0.3">
      <c r="A225" s="25">
        <v>36000</v>
      </c>
      <c r="B225" s="2">
        <v>12.709893856456622</v>
      </c>
      <c r="C225" s="2">
        <f t="shared" si="3"/>
        <v>1.9043375488365764</v>
      </c>
    </row>
    <row r="226" spans="1:3" x14ac:dyDescent="0.3">
      <c r="A226" s="25">
        <v>37000</v>
      </c>
      <c r="B226" s="2">
        <v>12.713569762509794</v>
      </c>
      <c r="C226" s="2">
        <f t="shared" si="3"/>
        <v>2.6376801615909384</v>
      </c>
    </row>
    <row r="227" spans="1:3" x14ac:dyDescent="0.3">
      <c r="A227" s="25">
        <v>38000</v>
      </c>
      <c r="B227" s="2">
        <v>12.737450916991744</v>
      </c>
      <c r="C227" s="2">
        <f t="shared" si="3"/>
        <v>7.3283808777369384</v>
      </c>
    </row>
    <row r="228" spans="1:3" x14ac:dyDescent="0.3">
      <c r="A228" s="25">
        <v>39000</v>
      </c>
      <c r="B228" s="2">
        <v>12.7088962855796</v>
      </c>
      <c r="C228" s="2">
        <f t="shared" si="3"/>
        <v>1.785092900229696</v>
      </c>
    </row>
    <row r="229" spans="1:3" x14ac:dyDescent="0.3">
      <c r="A229" s="25">
        <v>40000</v>
      </c>
      <c r="B229" s="2">
        <v>12.727298209784831</v>
      </c>
      <c r="C229" s="2">
        <f t="shared" si="3"/>
        <v>5.4882186950102607</v>
      </c>
    </row>
    <row r="230" spans="1:3" x14ac:dyDescent="0.3">
      <c r="A230" s="25">
        <v>41000</v>
      </c>
      <c r="B230" s="2">
        <v>12.749041260922839</v>
      </c>
      <c r="C230" s="2">
        <f t="shared" si="3"/>
        <v>9.9590302406435605</v>
      </c>
    </row>
    <row r="231" spans="1:3" x14ac:dyDescent="0.3">
      <c r="A231" s="25">
        <v>42000</v>
      </c>
      <c r="B231" s="2">
        <v>12.750758891979681</v>
      </c>
      <c r="C231" s="2">
        <f t="shared" si="3"/>
        <v>10.431759783787973</v>
      </c>
    </row>
    <row r="232" spans="1:3" x14ac:dyDescent="0.3">
      <c r="A232" s="25">
        <v>43000</v>
      </c>
      <c r="B232" s="2">
        <v>12.728255876602466</v>
      </c>
      <c r="C232" s="2">
        <f t="shared" si="3"/>
        <v>5.8888922731651032</v>
      </c>
    </row>
    <row r="233" spans="1:3" x14ac:dyDescent="0.3">
      <c r="A233" s="25">
        <v>44000</v>
      </c>
      <c r="B233" s="2">
        <v>12.729573759233737</v>
      </c>
      <c r="C233" s="2">
        <f t="shared" si="3"/>
        <v>6.2334156073120459</v>
      </c>
    </row>
    <row r="234" spans="1:3" x14ac:dyDescent="0.3">
      <c r="A234" s="25">
        <v>45000</v>
      </c>
      <c r="B234" s="2">
        <v>12.75149083296014</v>
      </c>
      <c r="C234" s="2">
        <f t="shared" si="3"/>
        <v>10.953165354400523</v>
      </c>
    </row>
    <row r="235" spans="1:3" x14ac:dyDescent="0.3">
      <c r="A235" s="25">
        <v>46000</v>
      </c>
      <c r="B235" s="2">
        <v>12.783266996853607</v>
      </c>
      <c r="C235" s="2">
        <f t="shared" si="3"/>
        <v>17.889426372229991</v>
      </c>
    </row>
    <row r="236" spans="1:3" x14ac:dyDescent="0.3">
      <c r="A236" s="25">
        <v>47000</v>
      </c>
      <c r="B236" s="2">
        <v>12.792025348447316</v>
      </c>
      <c r="C236" s="2">
        <f t="shared" si="3"/>
        <v>19.981596575896198</v>
      </c>
    </row>
    <row r="237" spans="1:3" x14ac:dyDescent="0.3">
      <c r="A237" s="25">
        <v>48000</v>
      </c>
      <c r="B237" s="2">
        <v>12.802788027350937</v>
      </c>
      <c r="C237" s="2">
        <f t="shared" si="3"/>
        <v>22.551032736719879</v>
      </c>
    </row>
    <row r="238" spans="1:3" x14ac:dyDescent="0.3">
      <c r="A238" s="25">
        <v>49000</v>
      </c>
      <c r="B238" s="2">
        <v>12.792751897616119</v>
      </c>
      <c r="C238" s="2">
        <f t="shared" si="3"/>
        <v>20.563136416988602</v>
      </c>
    </row>
    <row r="239" spans="1:3" x14ac:dyDescent="0.3">
      <c r="A239" s="25">
        <v>50000</v>
      </c>
      <c r="B239" s="2">
        <v>12.776253195030817</v>
      </c>
      <c r="C239" s="2">
        <f t="shared" si="3"/>
        <v>17.082682523466527</v>
      </c>
    </row>
    <row r="240" spans="1:3" x14ac:dyDescent="0.3">
      <c r="A240" s="25">
        <v>52500</v>
      </c>
      <c r="B240" s="2">
        <v>12.774960131793099</v>
      </c>
      <c r="C240" s="2">
        <f t="shared" si="3"/>
        <v>17.20826266858769</v>
      </c>
    </row>
    <row r="241" spans="1:3" x14ac:dyDescent="0.3">
      <c r="A241" s="25">
        <v>55000</v>
      </c>
      <c r="B241" s="2">
        <v>12.784244860080562</v>
      </c>
      <c r="C241" s="2">
        <f t="shared" si="3"/>
        <v>19.790680165921142</v>
      </c>
    </row>
    <row r="242" spans="1:3" x14ac:dyDescent="0.3">
      <c r="A242" s="25">
        <v>57500</v>
      </c>
      <c r="B242" s="2">
        <v>12.767572665081973</v>
      </c>
      <c r="C242" s="2">
        <f t="shared" si="3"/>
        <v>16.237618171005312</v>
      </c>
    </row>
    <row r="243" spans="1:3" x14ac:dyDescent="0.3">
      <c r="A243" s="25">
        <v>60000</v>
      </c>
      <c r="B243" s="2">
        <v>12.771772594845824</v>
      </c>
      <c r="C243" s="2">
        <f t="shared" si="3"/>
        <v>17.615622702138648</v>
      </c>
    </row>
    <row r="244" spans="1:3" x14ac:dyDescent="0.3">
      <c r="A244" s="25">
        <v>62500</v>
      </c>
      <c r="B244" s="2">
        <v>12.772999154389749</v>
      </c>
      <c r="C244" s="2">
        <f t="shared" si="3"/>
        <v>18.285509519992527</v>
      </c>
    </row>
    <row r="245" spans="1:3" x14ac:dyDescent="0.3">
      <c r="A245" s="25">
        <v>65000</v>
      </c>
      <c r="B245" s="2">
        <v>12.772626077509324</v>
      </c>
      <c r="C245" s="2">
        <f t="shared" si="3"/>
        <v>18.552517657017756</v>
      </c>
    </row>
    <row r="246" spans="1:3" x14ac:dyDescent="0.3">
      <c r="A246" s="25">
        <v>67500</v>
      </c>
      <c r="B246" s="2">
        <v>12.756428928367672</v>
      </c>
      <c r="C246" s="2">
        <f t="shared" si="3"/>
        <v>14.697787914076212</v>
      </c>
    </row>
    <row r="247" spans="1:3" x14ac:dyDescent="0.3">
      <c r="A247" s="25">
        <v>70000</v>
      </c>
      <c r="B247" s="2">
        <v>12.754720556750568</v>
      </c>
      <c r="C247" s="2">
        <f t="shared" si="3"/>
        <v>14.515501947573116</v>
      </c>
    </row>
    <row r="248" spans="1:3" x14ac:dyDescent="0.3">
      <c r="A248" s="25">
        <v>72500</v>
      </c>
      <c r="B248" s="2">
        <v>12.749472146370561</v>
      </c>
      <c r="C248" s="2">
        <f t="shared" si="3"/>
        <v>13.35925568941208</v>
      </c>
    </row>
    <row r="249" spans="1:3" x14ac:dyDescent="0.3">
      <c r="A249" s="25">
        <v>75000</v>
      </c>
      <c r="B249" s="2">
        <v>12.755701456759645</v>
      </c>
      <c r="C249" s="2">
        <f t="shared" si="3"/>
        <v>15.293602486694926</v>
      </c>
    </row>
    <row r="250" spans="1:3" x14ac:dyDescent="0.3">
      <c r="A250" s="25">
        <v>77500</v>
      </c>
      <c r="B250" s="2">
        <v>12.771690408741479</v>
      </c>
      <c r="C250" s="2">
        <f t="shared" si="3"/>
        <v>19.99754228329834</v>
      </c>
    </row>
    <row r="251" spans="1:3" x14ac:dyDescent="0.3">
      <c r="A251" s="25">
        <v>80000</v>
      </c>
      <c r="B251" s="2">
        <v>12.766907370328354</v>
      </c>
      <c r="C251" s="2">
        <f t="shared" si="3"/>
        <v>18.96467571872601</v>
      </c>
    </row>
    <row r="252" spans="1:3" x14ac:dyDescent="0.3">
      <c r="A252" s="25">
        <v>82500</v>
      </c>
      <c r="B252" s="2">
        <v>12.783392996283805</v>
      </c>
      <c r="C252" s="2">
        <f t="shared" si="3"/>
        <v>23.993854787223572</v>
      </c>
    </row>
    <row r="253" spans="1:3" x14ac:dyDescent="0.3">
      <c r="A253" s="25">
        <v>85000</v>
      </c>
      <c r="B253" s="2">
        <v>12.771539222686043</v>
      </c>
      <c r="C253" s="2">
        <f t="shared" si="3"/>
        <v>20.898745700058765</v>
      </c>
    </row>
    <row r="254" spans="1:3" x14ac:dyDescent="0.3">
      <c r="A254" s="25">
        <v>87500</v>
      </c>
      <c r="B254" s="2">
        <v>12.77243471937518</v>
      </c>
      <c r="C254" s="2">
        <f t="shared" si="3"/>
        <v>21.468744510052396</v>
      </c>
    </row>
    <row r="255" spans="1:3" x14ac:dyDescent="0.3">
      <c r="A255" s="25">
        <v>90000</v>
      </c>
      <c r="B255" s="2">
        <v>12.772136599826885</v>
      </c>
      <c r="C255" s="2">
        <f t="shared" si="3"/>
        <v>21.683845055131634</v>
      </c>
    </row>
    <row r="256" spans="1:3" x14ac:dyDescent="0.3">
      <c r="A256" s="25">
        <v>92500</v>
      </c>
      <c r="B256" s="2">
        <v>12.776217966323957</v>
      </c>
      <c r="C256" s="2">
        <f t="shared" si="3"/>
        <v>23.22424586239805</v>
      </c>
    </row>
    <row r="257" spans="1:3" x14ac:dyDescent="0.3">
      <c r="A257" s="25">
        <v>95000</v>
      </c>
      <c r="B257" s="2">
        <v>12.7797004416781</v>
      </c>
      <c r="C257" s="2">
        <f t="shared" si="3"/>
        <v>24.609365647204324</v>
      </c>
    </row>
    <row r="258" spans="1:3" x14ac:dyDescent="0.3">
      <c r="A258" s="25">
        <v>97500</v>
      </c>
      <c r="B258" s="2">
        <v>12.794994956741327</v>
      </c>
      <c r="C258" s="2">
        <f t="shared" si="3"/>
        <v>29.706781153348086</v>
      </c>
    </row>
    <row r="259" spans="1:3" x14ac:dyDescent="0.3">
      <c r="A259" s="25">
        <v>100000</v>
      </c>
      <c r="B259" s="2">
        <v>12.790516296480224</v>
      </c>
      <c r="C259" s="2">
        <f t="shared" si="3"/>
        <v>28.668950014217643</v>
      </c>
    </row>
    <row r="260" spans="1:3" x14ac:dyDescent="0.3">
      <c r="A260" s="25">
        <v>105000</v>
      </c>
      <c r="B260" s="2">
        <v>12.803778427954075</v>
      </c>
      <c r="C260" s="2">
        <f t="shared" si="3"/>
        <v>33.674353690255742</v>
      </c>
    </row>
    <row r="261" spans="1:3" x14ac:dyDescent="0.3">
      <c r="A261" s="25">
        <v>110000</v>
      </c>
      <c r="B261" s="2">
        <v>12.790696280409005</v>
      </c>
      <c r="C261" s="2">
        <f t="shared" si="3"/>
        <v>30.127942358665408</v>
      </c>
    </row>
    <row r="262" spans="1:3" x14ac:dyDescent="0.3">
      <c r="A262" s="25">
        <v>115000</v>
      </c>
      <c r="B262" s="2">
        <v>12.772247630763234</v>
      </c>
      <c r="C262" s="2">
        <f t="shared" si="3"/>
        <v>24.548817833576361</v>
      </c>
    </row>
    <row r="263" spans="1:3" x14ac:dyDescent="0.3">
      <c r="A263" s="25">
        <v>120000</v>
      </c>
      <c r="B263" s="2">
        <v>12.773246540467214</v>
      </c>
      <c r="C263" s="2">
        <f t="shared" si="3"/>
        <v>25.422842275780067</v>
      </c>
    </row>
    <row r="264" spans="1:3" x14ac:dyDescent="0.3">
      <c r="A264" s="25">
        <v>125000</v>
      </c>
      <c r="B264" s="2">
        <v>12.775151571569372</v>
      </c>
      <c r="C264" s="2">
        <f t="shared" si="3"/>
        <v>26.6206099499027</v>
      </c>
    </row>
    <row r="265" spans="1:3" x14ac:dyDescent="0.3">
      <c r="A265" s="25">
        <v>130000</v>
      </c>
      <c r="B265" s="2">
        <v>12.789772543279728</v>
      </c>
      <c r="C265" s="2">
        <f t="shared" si="3"/>
        <v>32.419468239538773</v>
      </c>
    </row>
    <row r="266" spans="1:3" x14ac:dyDescent="0.3">
      <c r="A266" s="25">
        <v>135000</v>
      </c>
      <c r="B266" s="2">
        <v>12.789231740254269</v>
      </c>
      <c r="C266" s="2">
        <f t="shared" si="3"/>
        <v>32.838333692569861</v>
      </c>
    </row>
    <row r="267" spans="1:3" x14ac:dyDescent="0.3">
      <c r="A267" s="25">
        <v>140000</v>
      </c>
      <c r="B267" s="2">
        <v>12.764222077222881</v>
      </c>
      <c r="C267" s="2">
        <f t="shared" si="3"/>
        <v>24.083163144992184</v>
      </c>
    </row>
    <row r="268" spans="1:3" x14ac:dyDescent="0.3">
      <c r="A268" s="25">
        <v>145000</v>
      </c>
      <c r="B268" s="2">
        <v>12.763172563574903</v>
      </c>
      <c r="C268" s="2">
        <f t="shared" si="3"/>
        <v>24.109804023373734</v>
      </c>
    </row>
    <row r="269" spans="1:3" x14ac:dyDescent="0.3">
      <c r="A269" s="25">
        <v>150000</v>
      </c>
      <c r="B269" s="2">
        <v>12.77159270748127</v>
      </c>
      <c r="C269" s="2">
        <f t="shared" si="3"/>
        <v>27.783074993752749</v>
      </c>
    </row>
  </sheetData>
  <mergeCells count="4">
    <mergeCell ref="B14:C14"/>
    <mergeCell ref="B6:C6"/>
    <mergeCell ref="E6:F6"/>
    <mergeCell ref="H6:I6"/>
  </mergeCells>
  <conditionalFormatting sqref="C10">
    <cfRule type="expression" dxfId="1" priority="1">
      <formula>$B$10="Discrete Dividend:"</formula>
    </cfRule>
    <cfRule type="expression" dxfId="0" priority="2" stopIfTrue="1">
      <formula>$B$10="Continuous Dividend:"</formula>
    </cfRule>
  </conditionalFormatting>
  <dataValidations count="5">
    <dataValidation type="decimal" errorStyle="warning" operator="greaterThan" allowBlank="1" showInputMessage="1" showErrorMessage="1" errorTitle="T-t &gt; 0" sqref="F9 I7 C11" xr:uid="{A92ACD82-4D18-A34A-8FA1-372EF30D1857}">
      <formula1>0</formula1>
    </dataValidation>
    <dataValidation type="list" errorStyle="warning" allowBlank="1" showInputMessage="1" showErrorMessage="1" sqref="F7" xr:uid="{2C7FD984-9989-E946-BBE8-D647356095AD}">
      <formula1>"Call,Put"</formula1>
    </dataValidation>
    <dataValidation type="list" allowBlank="1" showInputMessage="1" showErrorMessage="1" sqref="B10" xr:uid="{9E189753-1692-3242-9338-FEB7FC1777D4}">
      <formula1>"Discrete Dividend:,Continuous Dividend:"</formula1>
    </dataValidation>
    <dataValidation type="list" allowBlank="1" showInputMessage="1" showErrorMessage="1" sqref="I11" xr:uid="{959486C0-F2AC-6947-8271-334524EB5026}">
      <formula1>"Linear,Quadratic,Cubic,Quartic,Quintic,Sextic"</formula1>
    </dataValidation>
    <dataValidation type="list" allowBlank="1" showInputMessage="1" showErrorMessage="1" sqref="I12" xr:uid="{FE2C9B36-E5D7-4C98-B2B3-D107E26F7786}">
      <formula1>"True,False"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8DC2-9257-4E40-B627-48767A6E75BF}">
  <sheetPr codeName="Feuil2"/>
  <dimension ref="B1:X40"/>
  <sheetViews>
    <sheetView zoomScale="85" zoomScaleNormal="85" workbookViewId="0">
      <selection activeCell="I9" sqref="I9"/>
    </sheetView>
  </sheetViews>
  <sheetFormatPr baseColWidth="10" defaultColWidth="10.796875" defaultRowHeight="15.6" x14ac:dyDescent="0.3"/>
  <cols>
    <col min="1" max="1" width="10.796875" style="2"/>
    <col min="2" max="2" width="17.296875" style="2" bestFit="1" customWidth="1"/>
    <col min="3" max="3" width="10.5" style="2" customWidth="1"/>
    <col min="4" max="7" width="10.796875" style="2"/>
    <col min="8" max="8" width="14.19921875" style="2" bestFit="1" customWidth="1"/>
    <col min="9" max="16384" width="10.796875" style="2"/>
  </cols>
  <sheetData>
    <row r="1" spans="2:24" ht="23.4" x14ac:dyDescent="0.45">
      <c r="D1" s="17" t="s">
        <v>28</v>
      </c>
    </row>
    <row r="4" spans="2:24" x14ac:dyDescent="0.3">
      <c r="B4" s="39" t="s">
        <v>9</v>
      </c>
      <c r="C4" s="39"/>
      <c r="D4" s="1"/>
      <c r="E4" s="39" t="s">
        <v>0</v>
      </c>
      <c r="F4" s="39"/>
      <c r="G4" s="1"/>
      <c r="H4" s="39" t="s">
        <v>10</v>
      </c>
      <c r="I4" s="39"/>
    </row>
    <row r="5" spans="2:24" x14ac:dyDescent="0.3">
      <c r="B5" s="3" t="s">
        <v>6</v>
      </c>
      <c r="C5" s="5">
        <f>Spot</f>
        <v>110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45352</v>
      </c>
    </row>
    <row r="6" spans="2:24" ht="16.2" x14ac:dyDescent="0.3">
      <c r="B6" s="3" t="s">
        <v>7</v>
      </c>
      <c r="C6" s="8">
        <v>0.2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</v>
      </c>
    </row>
    <row r="7" spans="2:24" ht="16.2" x14ac:dyDescent="0.3">
      <c r="B7" s="3" t="s">
        <v>8</v>
      </c>
      <c r="C7" s="8">
        <v>0.05</v>
      </c>
      <c r="D7" s="2" t="s">
        <v>20</v>
      </c>
      <c r="E7" s="3" t="s">
        <v>16</v>
      </c>
      <c r="F7" s="6">
        <v>45652</v>
      </c>
      <c r="G7" s="1"/>
      <c r="H7" s="1" t="s">
        <v>4</v>
      </c>
      <c r="I7" s="10">
        <v>10</v>
      </c>
    </row>
    <row r="8" spans="2:24" x14ac:dyDescent="0.3">
      <c r="B8" s="3" t="s">
        <v>39</v>
      </c>
      <c r="C8" s="9"/>
      <c r="E8" s="3" t="s">
        <v>17</v>
      </c>
      <c r="F8" s="7" t="s">
        <v>43</v>
      </c>
      <c r="G8" s="1"/>
      <c r="H8" s="1" t="s">
        <v>5</v>
      </c>
      <c r="I8" s="10">
        <v>2</v>
      </c>
    </row>
    <row r="9" spans="2:24" x14ac:dyDescent="0.3">
      <c r="B9" s="15"/>
      <c r="C9" s="1"/>
      <c r="E9" s="1"/>
      <c r="F9" s="1"/>
      <c r="G9" s="1"/>
      <c r="H9" s="1" t="s">
        <v>11</v>
      </c>
      <c r="I9" s="7" t="s">
        <v>12</v>
      </c>
    </row>
    <row r="10" spans="2:24" x14ac:dyDescent="0.3">
      <c r="F10" s="1"/>
      <c r="H10" s="1"/>
      <c r="I10" s="1"/>
    </row>
    <row r="11" spans="2:24" x14ac:dyDescent="0.3">
      <c r="B11" s="2" t="s">
        <v>30</v>
      </c>
      <c r="C11" s="11">
        <v>0.01</v>
      </c>
    </row>
    <row r="12" spans="2:24" x14ac:dyDescent="0.3">
      <c r="B12" s="2" t="s">
        <v>23</v>
      </c>
      <c r="C12" s="10">
        <v>85</v>
      </c>
      <c r="D12" s="10">
        <v>90</v>
      </c>
      <c r="E12" s="10">
        <v>95</v>
      </c>
      <c r="F12" s="10">
        <v>100</v>
      </c>
      <c r="G12" s="10">
        <v>105</v>
      </c>
      <c r="H12" s="10">
        <v>110</v>
      </c>
      <c r="I12" s="10">
        <v>115</v>
      </c>
      <c r="J12" s="10">
        <v>120</v>
      </c>
      <c r="K12" s="10">
        <v>125</v>
      </c>
      <c r="L12" s="10">
        <v>130</v>
      </c>
    </row>
    <row r="13" spans="2:24" x14ac:dyDescent="0.3">
      <c r="B13" s="2" t="s">
        <v>24</v>
      </c>
      <c r="C13" s="19">
        <v>19.493127132804375</v>
      </c>
      <c r="D13" s="19">
        <v>15.617056457794433</v>
      </c>
      <c r="E13" s="19">
        <v>12.191728755812427</v>
      </c>
      <c r="F13" s="19">
        <v>9.2719244956885944</v>
      </c>
      <c r="G13" s="19">
        <v>6.8719096713036123</v>
      </c>
      <c r="H13" s="19">
        <v>4.9678203997410222</v>
      </c>
      <c r="I13" s="19">
        <v>3.507229859060029</v>
      </c>
      <c r="J13" s="19">
        <v>2.4215726498553138</v>
      </c>
      <c r="K13" s="19">
        <v>1.6377304829415174</v>
      </c>
      <c r="L13" s="19">
        <v>1.0866609947422887</v>
      </c>
    </row>
    <row r="14" spans="2:24" x14ac:dyDescent="0.3">
      <c r="N14" s="2" t="s">
        <v>31</v>
      </c>
    </row>
    <row r="15" spans="2:24" ht="18" x14ac:dyDescent="0.35">
      <c r="B15" s="2" t="s">
        <v>38</v>
      </c>
      <c r="F15" s="20" t="s">
        <v>29</v>
      </c>
      <c r="N15" s="10">
        <v>0</v>
      </c>
      <c r="Q15" s="20" t="s">
        <v>36</v>
      </c>
    </row>
    <row r="16" spans="2:24" x14ac:dyDescent="0.3">
      <c r="B16" s="16">
        <v>10</v>
      </c>
      <c r="C16" s="21">
        <v>23.499413312097996</v>
      </c>
      <c r="D16" s="21">
        <v>21.629675464641991</v>
      </c>
      <c r="E16" s="21">
        <v>17.17281552415303</v>
      </c>
      <c r="F16" s="21">
        <v>13.920140020421549</v>
      </c>
      <c r="G16" s="21">
        <v>10.443769983127456</v>
      </c>
      <c r="H16" s="21">
        <v>7.2406153990502435</v>
      </c>
      <c r="I16" s="21">
        <v>4.8622515775239936</v>
      </c>
      <c r="J16" s="21">
        <v>3.3202511301130366</v>
      </c>
      <c r="K16" s="21">
        <v>1.9204645939912262</v>
      </c>
      <c r="L16" s="21">
        <v>0.95875137777464681</v>
      </c>
      <c r="N16" s="21">
        <f>Conv_LS_PList</f>
        <v>10</v>
      </c>
      <c r="O16" s="21">
        <f>(Conv_LS_P1-C$13)*($N16^$N$15)</f>
        <v>4.0062861792936211</v>
      </c>
      <c r="P16" s="21">
        <f>(D16-D$13)*($N16^$N$15)</f>
        <v>6.012619006847558</v>
      </c>
      <c r="Q16" s="21">
        <f t="shared" ref="Q16:W16" si="0">(E16-E$13)*($N16^$N$15)</f>
        <v>4.981086768340603</v>
      </c>
      <c r="R16" s="21">
        <f t="shared" si="0"/>
        <v>4.6482155247329544</v>
      </c>
      <c r="S16" s="21">
        <f t="shared" si="0"/>
        <v>3.5718603118238441</v>
      </c>
      <c r="T16" s="21">
        <f t="shared" si="0"/>
        <v>2.2727949993092214</v>
      </c>
      <c r="U16" s="21">
        <f t="shared" si="0"/>
        <v>1.3550217184639646</v>
      </c>
      <c r="V16" s="21">
        <f t="shared" si="0"/>
        <v>0.89867848025772279</v>
      </c>
      <c r="W16" s="21">
        <f t="shared" si="0"/>
        <v>0.2827341110497088</v>
      </c>
      <c r="X16" s="21">
        <f>(L16-L$13)*($N16^$N$15)</f>
        <v>-0.12790961696764191</v>
      </c>
    </row>
    <row r="17" spans="2:24" x14ac:dyDescent="0.3">
      <c r="B17" s="2">
        <v>20</v>
      </c>
      <c r="C17" s="22">
        <v>21.082903368062954</v>
      </c>
      <c r="D17" s="22">
        <v>18.45435156382624</v>
      </c>
      <c r="E17" s="22">
        <v>14.254405207668563</v>
      </c>
      <c r="F17" s="22">
        <v>10.905654947895176</v>
      </c>
      <c r="G17" s="22">
        <v>7.5064971408756946</v>
      </c>
      <c r="H17" s="22">
        <v>5.7551830190791033</v>
      </c>
      <c r="I17" s="22">
        <v>3.6078425577276274</v>
      </c>
      <c r="J17" s="22">
        <v>2.4468916626221362</v>
      </c>
      <c r="K17" s="22">
        <v>1.2651496574439478</v>
      </c>
      <c r="L17" s="22">
        <v>0.4793756888873234</v>
      </c>
      <c r="N17" s="22">
        <f>B17</f>
        <v>20</v>
      </c>
      <c r="O17" s="22">
        <f>(C17-C$13)*($N17^$N$15)</f>
        <v>1.5897762352585794</v>
      </c>
      <c r="P17" s="22">
        <f t="shared" ref="P17:P40" si="1">(D17-D$13)*($N17^$N$15)</f>
        <v>2.8372951060318066</v>
      </c>
      <c r="Q17" s="22">
        <f t="shared" ref="Q17:Q40" si="2">(E17-E$13)*($N17^$N$15)</f>
        <v>2.0626764518561362</v>
      </c>
      <c r="R17" s="22">
        <f t="shared" ref="R17:R40" si="3">(F17-F$13)*($N17^$N$15)</f>
        <v>1.6337304522065814</v>
      </c>
      <c r="S17" s="22">
        <f t="shared" ref="S17:S40" si="4">(G17-G$13)*($N17^$N$15)</f>
        <v>0.63458746957208234</v>
      </c>
      <c r="T17" s="22">
        <f t="shared" ref="T17:T40" si="5">(H17-H$13)*($N17^$N$15)</f>
        <v>0.78736261933808116</v>
      </c>
      <c r="U17" s="22">
        <f t="shared" ref="U17:U40" si="6">(I17-I$13)*($N17^$N$15)</f>
        <v>0.10061269866759837</v>
      </c>
      <c r="V17" s="22">
        <f t="shared" ref="V17:V40" si="7">(J17-J$13)*($N17^$N$15)</f>
        <v>2.5319012766822357E-2</v>
      </c>
      <c r="W17" s="22">
        <f t="shared" ref="W17:W40" si="8">(K17-K$13)*($N17^$N$15)</f>
        <v>-0.37258082549756955</v>
      </c>
      <c r="X17" s="22">
        <f t="shared" ref="X17:X40" si="9">(L17-L$13)*($N17^$N$15)</f>
        <v>-0.60728530585496532</v>
      </c>
    </row>
    <row r="18" spans="2:24" x14ac:dyDescent="0.3">
      <c r="B18" s="2">
        <v>50</v>
      </c>
      <c r="C18" s="22">
        <v>21.022281877818894</v>
      </c>
      <c r="D18" s="22">
        <v>17.07326107962357</v>
      </c>
      <c r="E18" s="22">
        <v>13.092526165189183</v>
      </c>
      <c r="F18" s="22">
        <v>9.6890048826548565</v>
      </c>
      <c r="G18" s="22">
        <v>7.3445062743342167</v>
      </c>
      <c r="H18" s="22">
        <v>5.7665273294981256</v>
      </c>
      <c r="I18" s="22">
        <v>4.1323984369042384</v>
      </c>
      <c r="J18" s="22">
        <v>2.9198792957810418</v>
      </c>
      <c r="K18" s="22">
        <v>2.0269073757167773</v>
      </c>
      <c r="L18" s="22">
        <v>1.1347696183183669</v>
      </c>
      <c r="N18" s="22">
        <f t="shared" ref="N18:N40" si="10">B18</f>
        <v>50</v>
      </c>
      <c r="O18" s="22">
        <f>(C18-C$13)*($N18^$N$15)</f>
        <v>1.5291547450145195</v>
      </c>
      <c r="P18" s="22">
        <f t="shared" si="1"/>
        <v>1.4562046218291371</v>
      </c>
      <c r="Q18" s="22">
        <f t="shared" si="2"/>
        <v>0.90079740937675545</v>
      </c>
      <c r="R18" s="22">
        <f t="shared" si="3"/>
        <v>0.41708038696626204</v>
      </c>
      <c r="S18" s="22">
        <f t="shared" si="4"/>
        <v>0.47259660303060436</v>
      </c>
      <c r="T18" s="22">
        <f t="shared" si="5"/>
        <v>0.79870692975710345</v>
      </c>
      <c r="U18" s="22">
        <f t="shared" si="6"/>
        <v>0.62516857784420932</v>
      </c>
      <c r="V18" s="22">
        <f t="shared" si="7"/>
        <v>0.49830664592572793</v>
      </c>
      <c r="W18" s="22">
        <f t="shared" si="8"/>
        <v>0.38917689277525991</v>
      </c>
      <c r="X18" s="22">
        <f t="shared" si="9"/>
        <v>4.8108623576078147E-2</v>
      </c>
    </row>
    <row r="19" spans="2:24" x14ac:dyDescent="0.3">
      <c r="B19" s="2">
        <v>75</v>
      </c>
      <c r="C19" s="22">
        <v>20.741469876675094</v>
      </c>
      <c r="D19" s="22">
        <v>17.131920602643454</v>
      </c>
      <c r="E19" s="22">
        <v>13.628704428830712</v>
      </c>
      <c r="F19" s="22">
        <v>10.080080785134632</v>
      </c>
      <c r="G19" s="22">
        <v>7.4360775032002779</v>
      </c>
      <c r="H19" s="22">
        <v>5.3208943297867961</v>
      </c>
      <c r="I19" s="22">
        <v>4.0322029274980755</v>
      </c>
      <c r="J19" s="22">
        <v>2.7537938302650016</v>
      </c>
      <c r="K19" s="22">
        <v>1.6861247195573061</v>
      </c>
      <c r="L19" s="22">
        <v>0.95383462615460624</v>
      </c>
      <c r="N19" s="22">
        <f t="shared" si="10"/>
        <v>75</v>
      </c>
      <c r="O19" s="22">
        <f>(C19-C$13)*($N19^$N$15)</f>
        <v>1.2483427438707189</v>
      </c>
      <c r="P19" s="22">
        <f t="shared" si="1"/>
        <v>1.514864144849021</v>
      </c>
      <c r="Q19" s="22">
        <f t="shared" si="2"/>
        <v>1.436975673018285</v>
      </c>
      <c r="R19" s="22">
        <f t="shared" si="3"/>
        <v>0.80815628944603723</v>
      </c>
      <c r="S19" s="22">
        <f t="shared" si="4"/>
        <v>0.56416783189666564</v>
      </c>
      <c r="T19" s="22">
        <f t="shared" si="5"/>
        <v>0.35307393004577392</v>
      </c>
      <c r="U19" s="22">
        <f t="shared" si="6"/>
        <v>0.52497306843804648</v>
      </c>
      <c r="V19" s="22">
        <f t="shared" si="7"/>
        <v>0.33222118040968773</v>
      </c>
      <c r="W19" s="22">
        <f t="shared" si="8"/>
        <v>4.8394236615788788E-2</v>
      </c>
      <c r="X19" s="22">
        <f t="shared" si="9"/>
        <v>-0.13282636858768249</v>
      </c>
    </row>
    <row r="20" spans="2:24" x14ac:dyDescent="0.3">
      <c r="B20" s="2">
        <v>100</v>
      </c>
      <c r="C20" s="22">
        <v>21.147907416104541</v>
      </c>
      <c r="D20" s="22">
        <v>17.656611670745828</v>
      </c>
      <c r="E20" s="22">
        <v>13.832913850542166</v>
      </c>
      <c r="F20" s="22">
        <v>10.909974141971611</v>
      </c>
      <c r="G20" s="22">
        <v>7.7892787280481022</v>
      </c>
      <c r="H20" s="22">
        <v>5.4316356688623264</v>
      </c>
      <c r="I20" s="22">
        <v>3.9307615716362019</v>
      </c>
      <c r="J20" s="22">
        <v>2.7397618858872659</v>
      </c>
      <c r="K20" s="22">
        <v>1.9425757806318937</v>
      </c>
      <c r="L20" s="22">
        <v>1.1652454664546215</v>
      </c>
      <c r="N20" s="22">
        <f t="shared" si="10"/>
        <v>100</v>
      </c>
      <c r="O20" s="22">
        <f>(C20-C$13)*($N20^$N$15)</f>
        <v>1.6547802833001661</v>
      </c>
      <c r="P20" s="22">
        <f t="shared" si="1"/>
        <v>2.0395552129513952</v>
      </c>
      <c r="Q20" s="22">
        <f t="shared" si="2"/>
        <v>1.6411850947297388</v>
      </c>
      <c r="R20" s="22">
        <f t="shared" si="3"/>
        <v>1.638049646283017</v>
      </c>
      <c r="S20" s="22">
        <f t="shared" si="4"/>
        <v>0.91736905674448987</v>
      </c>
      <c r="T20" s="22">
        <f t="shared" si="5"/>
        <v>0.46381526912130422</v>
      </c>
      <c r="U20" s="22">
        <f t="shared" si="6"/>
        <v>0.42353171257617284</v>
      </c>
      <c r="V20" s="22">
        <f t="shared" si="7"/>
        <v>0.31818923603195204</v>
      </c>
      <c r="W20" s="22">
        <f t="shared" si="8"/>
        <v>0.30484529769037638</v>
      </c>
      <c r="X20" s="22">
        <f t="shared" si="9"/>
        <v>7.8584471712332737E-2</v>
      </c>
    </row>
    <row r="21" spans="2:24" x14ac:dyDescent="0.3">
      <c r="B21" s="2">
        <v>125</v>
      </c>
      <c r="C21" s="22">
        <v>21.592000453110558</v>
      </c>
      <c r="D21" s="22">
        <v>17.890425558643621</v>
      </c>
      <c r="E21" s="22">
        <v>14.214139037302955</v>
      </c>
      <c r="F21" s="22">
        <v>10.910982923666575</v>
      </c>
      <c r="G21" s="22">
        <v>8.1852701638338718</v>
      </c>
      <c r="H21" s="22">
        <v>5.7973857864559157</v>
      </c>
      <c r="I21" s="22">
        <v>4.2191797901292611</v>
      </c>
      <c r="J21" s="22">
        <v>2.9653688456662461</v>
      </c>
      <c r="K21" s="22">
        <v>2.1652890469181987</v>
      </c>
      <c r="L21" s="22">
        <v>1.4120425609611866</v>
      </c>
      <c r="N21" s="22">
        <f t="shared" si="10"/>
        <v>125</v>
      </c>
      <c r="O21" s="22">
        <f>(C21-C$13)*($N21^$N$15)</f>
        <v>2.0988733203061827</v>
      </c>
      <c r="P21" s="22">
        <f t="shared" si="1"/>
        <v>2.2733691008491874</v>
      </c>
      <c r="Q21" s="22">
        <f t="shared" si="2"/>
        <v>2.0224102814905276</v>
      </c>
      <c r="R21" s="22">
        <f t="shared" si="3"/>
        <v>1.6390584279779805</v>
      </c>
      <c r="S21" s="22">
        <f t="shared" si="4"/>
        <v>1.3133604925302595</v>
      </c>
      <c r="T21" s="22">
        <f t="shared" si="5"/>
        <v>0.82956538671489355</v>
      </c>
      <c r="U21" s="22">
        <f t="shared" si="6"/>
        <v>0.7119499310692321</v>
      </c>
      <c r="V21" s="22">
        <f t="shared" si="7"/>
        <v>0.5437961958109323</v>
      </c>
      <c r="W21" s="22">
        <f t="shared" si="8"/>
        <v>0.52755856397668133</v>
      </c>
      <c r="X21" s="22">
        <f t="shared" si="9"/>
        <v>0.32538156621889791</v>
      </c>
    </row>
    <row r="22" spans="2:24" x14ac:dyDescent="0.3">
      <c r="B22" s="2">
        <v>150</v>
      </c>
      <c r="C22" s="22">
        <v>21.769444996360868</v>
      </c>
      <c r="D22" s="22">
        <v>17.917180373523596</v>
      </c>
      <c r="E22" s="22">
        <v>14.075404038615503</v>
      </c>
      <c r="F22" s="22">
        <v>10.802747628006847</v>
      </c>
      <c r="G22" s="22">
        <v>7.770322003505183</v>
      </c>
      <c r="H22" s="22">
        <v>5.70291205128279</v>
      </c>
      <c r="I22" s="22">
        <v>4.0970649288612107</v>
      </c>
      <c r="J22" s="22">
        <v>2.8352658606332657</v>
      </c>
      <c r="K22" s="22">
        <v>2.1679417252642863</v>
      </c>
      <c r="L22" s="22">
        <v>1.613079497448304</v>
      </c>
      <c r="N22" s="22">
        <f t="shared" si="10"/>
        <v>150</v>
      </c>
      <c r="O22" s="22">
        <f t="shared" ref="O22:O40" si="11">(C22-C$13)*($N22^$N$15)</f>
        <v>2.2763178635564927</v>
      </c>
      <c r="P22" s="22">
        <f t="shared" si="1"/>
        <v>2.3001239157291629</v>
      </c>
      <c r="Q22" s="22">
        <f t="shared" si="2"/>
        <v>1.8836752828030754</v>
      </c>
      <c r="R22" s="22">
        <f t="shared" si="3"/>
        <v>1.5308231323182522</v>
      </c>
      <c r="S22" s="22">
        <f t="shared" si="4"/>
        <v>0.89841233220157068</v>
      </c>
      <c r="T22" s="22">
        <f t="shared" si="5"/>
        <v>0.73509165154176781</v>
      </c>
      <c r="U22" s="22">
        <f t="shared" si="6"/>
        <v>0.58983506980118161</v>
      </c>
      <c r="V22" s="22">
        <f t="shared" si="7"/>
        <v>0.41369321077795185</v>
      </c>
      <c r="W22" s="22">
        <f t="shared" si="8"/>
        <v>0.53021124232276895</v>
      </c>
      <c r="X22" s="22">
        <f t="shared" si="9"/>
        <v>0.52641850270601531</v>
      </c>
    </row>
    <row r="23" spans="2:24" x14ac:dyDescent="0.3">
      <c r="B23" s="2">
        <v>175</v>
      </c>
      <c r="C23" s="22">
        <v>20.50910746746716</v>
      </c>
      <c r="D23" s="22">
        <v>16.685875764811431</v>
      </c>
      <c r="E23" s="22">
        <v>13.273677132407961</v>
      </c>
      <c r="F23" s="22">
        <v>9.6174983764710387</v>
      </c>
      <c r="G23" s="22">
        <v>7.0353675763130887</v>
      </c>
      <c r="H23" s="22">
        <v>5.0960955935219827</v>
      </c>
      <c r="I23" s="22">
        <v>3.607375794866718</v>
      </c>
      <c r="J23" s="22">
        <v>2.7280348474267697</v>
      </c>
      <c r="K23" s="22">
        <v>1.8812939386667487</v>
      </c>
      <c r="L23" s="22">
        <v>1.3425610952906197</v>
      </c>
      <c r="N23" s="22">
        <f t="shared" si="10"/>
        <v>175</v>
      </c>
      <c r="O23" s="22">
        <f t="shared" si="11"/>
        <v>1.0159803346627854</v>
      </c>
      <c r="P23" s="22">
        <f t="shared" si="1"/>
        <v>1.068819307016998</v>
      </c>
      <c r="Q23" s="22">
        <f t="shared" si="2"/>
        <v>1.081948376595534</v>
      </c>
      <c r="R23" s="22">
        <f t="shared" si="3"/>
        <v>0.34557388078244422</v>
      </c>
      <c r="S23" s="22">
        <f t="shared" si="4"/>
        <v>0.16345790500947643</v>
      </c>
      <c r="T23" s="22">
        <f t="shared" si="5"/>
        <v>0.12827519378096053</v>
      </c>
      <c r="U23" s="22">
        <f t="shared" si="6"/>
        <v>0.10014593580668896</v>
      </c>
      <c r="V23" s="22">
        <f t="shared" si="7"/>
        <v>0.30646219757145587</v>
      </c>
      <c r="W23" s="22">
        <f t="shared" si="8"/>
        <v>0.2435634557252313</v>
      </c>
      <c r="X23" s="22">
        <f t="shared" si="9"/>
        <v>0.25590010054833101</v>
      </c>
    </row>
    <row r="24" spans="2:24" x14ac:dyDescent="0.3">
      <c r="B24" s="2">
        <v>200</v>
      </c>
      <c r="C24" s="22">
        <v>20.185884932828973</v>
      </c>
      <c r="D24" s="22">
        <v>16.222867602871084</v>
      </c>
      <c r="E24" s="22">
        <v>12.45848091828362</v>
      </c>
      <c r="F24" s="22">
        <v>9.3187554375575168</v>
      </c>
      <c r="G24" s="22">
        <v>6.6715515199694622</v>
      </c>
      <c r="H24" s="22">
        <v>4.823959943434569</v>
      </c>
      <c r="I24" s="22">
        <v>3.240967334458591</v>
      </c>
      <c r="J24" s="22">
        <v>2.4260140296842896</v>
      </c>
      <c r="K24" s="22">
        <v>1.7149231870036099</v>
      </c>
      <c r="L24" s="22">
        <v>1.2190404059178523</v>
      </c>
      <c r="N24" s="22">
        <f t="shared" si="10"/>
        <v>200</v>
      </c>
      <c r="O24" s="22">
        <f t="shared" si="11"/>
        <v>0.69275780002459797</v>
      </c>
      <c r="P24" s="22">
        <f t="shared" si="1"/>
        <v>0.60581114507665035</v>
      </c>
      <c r="Q24" s="22">
        <f t="shared" si="2"/>
        <v>0.26675216247119238</v>
      </c>
      <c r="R24" s="22">
        <f t="shared" si="3"/>
        <v>4.6830941868922338E-2</v>
      </c>
      <c r="S24" s="22">
        <f t="shared" si="4"/>
        <v>-0.20035815133415014</v>
      </c>
      <c r="T24" s="22">
        <f t="shared" si="5"/>
        <v>-0.14386045630645317</v>
      </c>
      <c r="U24" s="22">
        <f t="shared" si="6"/>
        <v>-0.26626252460143807</v>
      </c>
      <c r="V24" s="22">
        <f t="shared" si="7"/>
        <v>4.4413798289757445E-3</v>
      </c>
      <c r="W24" s="22">
        <f t="shared" si="8"/>
        <v>7.7192704062092554E-2</v>
      </c>
      <c r="X24" s="22">
        <f t="shared" si="9"/>
        <v>0.13237941117556362</v>
      </c>
    </row>
    <row r="25" spans="2:24" x14ac:dyDescent="0.3">
      <c r="B25" s="2">
        <v>250</v>
      </c>
      <c r="C25" s="22">
        <v>20.039342446315253</v>
      </c>
      <c r="D25" s="22">
        <v>16.297710467035103</v>
      </c>
      <c r="E25" s="22">
        <v>12.57441210909084</v>
      </c>
      <c r="F25" s="22">
        <v>9.3012793678380987</v>
      </c>
      <c r="G25" s="22">
        <v>6.6888768786142716</v>
      </c>
      <c r="H25" s="22">
        <v>4.5948540755787706</v>
      </c>
      <c r="I25" s="22">
        <v>3.2743903594980126</v>
      </c>
      <c r="J25" s="22">
        <v>2.1005838587268864</v>
      </c>
      <c r="K25" s="22">
        <v>1.511419725763498</v>
      </c>
      <c r="L25" s="22">
        <v>1.059824691190274</v>
      </c>
      <c r="N25" s="22">
        <f t="shared" si="10"/>
        <v>250</v>
      </c>
      <c r="O25" s="22">
        <f t="shared" si="11"/>
        <v>0.54621531351087782</v>
      </c>
      <c r="P25" s="22">
        <f t="shared" si="1"/>
        <v>0.68065400924066921</v>
      </c>
      <c r="Q25" s="22">
        <f t="shared" si="2"/>
        <v>0.38268335327841285</v>
      </c>
      <c r="R25" s="22">
        <f t="shared" si="3"/>
        <v>2.9354872149504274E-2</v>
      </c>
      <c r="S25" s="22">
        <f t="shared" si="4"/>
        <v>-0.1830327926893407</v>
      </c>
      <c r="T25" s="22">
        <f t="shared" si="5"/>
        <v>-0.37296632416225162</v>
      </c>
      <c r="U25" s="22">
        <f t="shared" si="6"/>
        <v>-0.23283949956201644</v>
      </c>
      <c r="V25" s="22">
        <f t="shared" si="7"/>
        <v>-0.32098879112842749</v>
      </c>
      <c r="W25" s="22">
        <f t="shared" si="8"/>
        <v>-0.12631075717801932</v>
      </c>
      <c r="X25" s="22">
        <f t="shared" si="9"/>
        <v>-2.6836303552014718E-2</v>
      </c>
    </row>
    <row r="26" spans="2:24" x14ac:dyDescent="0.3">
      <c r="B26" s="2">
        <v>300</v>
      </c>
      <c r="C26" s="22">
        <v>20.359776483025765</v>
      </c>
      <c r="D26" s="22">
        <v>16.343451913441566</v>
      </c>
      <c r="E26" s="22">
        <v>12.787386129041622</v>
      </c>
      <c r="F26" s="22">
        <v>9.5690222309942765</v>
      </c>
      <c r="G26" s="22">
        <v>6.7223224739827749</v>
      </c>
      <c r="H26" s="22">
        <v>4.8442194180556051</v>
      </c>
      <c r="I26" s="22">
        <v>3.4161755793136006</v>
      </c>
      <c r="J26" s="22">
        <v>2.2900340912528847</v>
      </c>
      <c r="K26" s="22">
        <v>1.5605382480623122</v>
      </c>
      <c r="L26" s="22">
        <v>1.0453337886206517</v>
      </c>
      <c r="N26" s="22">
        <f t="shared" si="10"/>
        <v>300</v>
      </c>
      <c r="O26" s="22">
        <f t="shared" si="11"/>
        <v>0.86664935022139034</v>
      </c>
      <c r="P26" s="22">
        <f t="shared" si="1"/>
        <v>0.72639545564713259</v>
      </c>
      <c r="Q26" s="22">
        <f t="shared" si="2"/>
        <v>0.59565737322919432</v>
      </c>
      <c r="R26" s="22">
        <f t="shared" si="3"/>
        <v>0.29709773530568206</v>
      </c>
      <c r="S26" s="22">
        <f t="shared" si="4"/>
        <v>-0.14958719732083736</v>
      </c>
      <c r="T26" s="22">
        <f t="shared" si="5"/>
        <v>-0.12360098168541711</v>
      </c>
      <c r="U26" s="22">
        <f t="shared" si="6"/>
        <v>-9.1054279746428435E-2</v>
      </c>
      <c r="V26" s="22">
        <f t="shared" si="7"/>
        <v>-0.13153855860242913</v>
      </c>
      <c r="W26" s="22">
        <f t="shared" si="8"/>
        <v>-7.7192234879205124E-2</v>
      </c>
      <c r="X26" s="22">
        <f t="shared" si="9"/>
        <v>-4.1327206121636983E-2</v>
      </c>
    </row>
    <row r="27" spans="2:24" x14ac:dyDescent="0.3">
      <c r="B27" s="2">
        <v>350</v>
      </c>
      <c r="C27" s="22">
        <v>20.149800784929578</v>
      </c>
      <c r="D27" s="22">
        <v>16.054129033321608</v>
      </c>
      <c r="E27" s="22">
        <v>12.583637056243189</v>
      </c>
      <c r="F27" s="22">
        <v>9.5270101720734086</v>
      </c>
      <c r="G27" s="22">
        <v>6.8352181630922209</v>
      </c>
      <c r="H27" s="22">
        <v>5.0155150145954552</v>
      </c>
      <c r="I27" s="22">
        <v>3.5513502444453624</v>
      </c>
      <c r="J27" s="22">
        <v>2.3986245532163086</v>
      </c>
      <c r="K27" s="22">
        <v>1.5114414414394173</v>
      </c>
      <c r="L27" s="22">
        <v>0.96698408577643336</v>
      </c>
      <c r="N27" s="22">
        <f t="shared" si="10"/>
        <v>350</v>
      </c>
      <c r="O27" s="22">
        <f t="shared" si="11"/>
        <v>0.65667365212520323</v>
      </c>
      <c r="P27" s="22">
        <f t="shared" si="1"/>
        <v>0.43707257552717493</v>
      </c>
      <c r="Q27" s="22">
        <f t="shared" si="2"/>
        <v>0.39190830043076197</v>
      </c>
      <c r="R27" s="22">
        <f t="shared" si="3"/>
        <v>0.25508567638481416</v>
      </c>
      <c r="S27" s="22">
        <f t="shared" si="4"/>
        <v>-3.6691508211391444E-2</v>
      </c>
      <c r="T27" s="22">
        <f t="shared" si="5"/>
        <v>4.7694614854433048E-2</v>
      </c>
      <c r="U27" s="22">
        <f t="shared" si="6"/>
        <v>4.4120385385333361E-2</v>
      </c>
      <c r="V27" s="22">
        <f t="shared" si="7"/>
        <v>-2.2948096639005211E-2</v>
      </c>
      <c r="W27" s="22">
        <f t="shared" si="8"/>
        <v>-0.12628904150210007</v>
      </c>
      <c r="X27" s="22">
        <f t="shared" si="9"/>
        <v>-0.11967690896585537</v>
      </c>
    </row>
    <row r="28" spans="2:24" x14ac:dyDescent="0.3">
      <c r="B28" s="2">
        <v>400</v>
      </c>
      <c r="C28" s="22">
        <v>19.673941073416042</v>
      </c>
      <c r="D28" s="22">
        <v>15.79229333926143</v>
      </c>
      <c r="E28" s="22">
        <v>12.394191994213342</v>
      </c>
      <c r="F28" s="22">
        <v>9.323669288548766</v>
      </c>
      <c r="G28" s="22">
        <v>6.968815058354191</v>
      </c>
      <c r="H28" s="22">
        <v>5.0348040508337952</v>
      </c>
      <c r="I28" s="22">
        <v>3.6447063430090587</v>
      </c>
      <c r="J28" s="22">
        <v>2.3582669905251175</v>
      </c>
      <c r="K28" s="22">
        <v>1.6254678281253645</v>
      </c>
      <c r="L28" s="22">
        <v>0.97747182333143012</v>
      </c>
      <c r="N28" s="22">
        <f t="shared" si="10"/>
        <v>400</v>
      </c>
      <c r="O28" s="22">
        <f t="shared" si="11"/>
        <v>0.18081394061166733</v>
      </c>
      <c r="P28" s="22">
        <f t="shared" si="1"/>
        <v>0.17523688146699712</v>
      </c>
      <c r="Q28" s="22">
        <f t="shared" si="2"/>
        <v>0.20246323840091485</v>
      </c>
      <c r="R28" s="22">
        <f t="shared" si="3"/>
        <v>5.1744792860171529E-2</v>
      </c>
      <c r="S28" s="22">
        <f t="shared" si="4"/>
        <v>9.6905387050578717E-2</v>
      </c>
      <c r="T28" s="22">
        <f t="shared" si="5"/>
        <v>6.6983651092773044E-2</v>
      </c>
      <c r="U28" s="22">
        <f t="shared" si="6"/>
        <v>0.13747648394902967</v>
      </c>
      <c r="V28" s="22">
        <f t="shared" si="7"/>
        <v>-6.3305659330196384E-2</v>
      </c>
      <c r="W28" s="22">
        <f t="shared" si="8"/>
        <v>-1.2262654816152851E-2</v>
      </c>
      <c r="X28" s="22">
        <f t="shared" si="9"/>
        <v>-0.1091891714108586</v>
      </c>
    </row>
    <row r="29" spans="2:24" x14ac:dyDescent="0.3">
      <c r="B29" s="2">
        <v>450</v>
      </c>
      <c r="C29" s="22">
        <v>19.988588364221258</v>
      </c>
      <c r="D29" s="22">
        <v>16.124198484350472</v>
      </c>
      <c r="E29" s="22">
        <v>12.603645913596328</v>
      </c>
      <c r="F29" s="22">
        <v>9.6218210300785429</v>
      </c>
      <c r="G29" s="22">
        <v>7.1373482089864408</v>
      </c>
      <c r="H29" s="22">
        <v>5.256073126269313</v>
      </c>
      <c r="I29" s="22">
        <v>3.7306431392228592</v>
      </c>
      <c r="J29" s="22">
        <v>2.5831105863861055</v>
      </c>
      <c r="K29" s="22">
        <v>1.7722255286401583</v>
      </c>
      <c r="L29" s="22">
        <v>1.1821930637792355</v>
      </c>
      <c r="N29" s="22">
        <f t="shared" si="10"/>
        <v>450</v>
      </c>
      <c r="O29" s="22">
        <f t="shared" si="11"/>
        <v>0.4954612314168827</v>
      </c>
      <c r="P29" s="22">
        <f t="shared" si="1"/>
        <v>0.50714202655603913</v>
      </c>
      <c r="Q29" s="22">
        <f t="shared" si="2"/>
        <v>0.41191715778390048</v>
      </c>
      <c r="R29" s="22">
        <f t="shared" si="3"/>
        <v>0.3498965343899485</v>
      </c>
      <c r="S29" s="22">
        <f t="shared" si="4"/>
        <v>0.26543853768282855</v>
      </c>
      <c r="T29" s="22">
        <f t="shared" si="5"/>
        <v>0.28825272652829081</v>
      </c>
      <c r="U29" s="22">
        <f t="shared" si="6"/>
        <v>0.22341328016283013</v>
      </c>
      <c r="V29" s="22">
        <f t="shared" si="7"/>
        <v>0.16153793653079163</v>
      </c>
      <c r="W29" s="22">
        <f t="shared" si="8"/>
        <v>0.1344950456986409</v>
      </c>
      <c r="X29" s="22">
        <f t="shared" si="9"/>
        <v>9.5532069036946776E-2</v>
      </c>
    </row>
    <row r="30" spans="2:24" x14ac:dyDescent="0.3">
      <c r="B30" s="2">
        <v>500</v>
      </c>
      <c r="C30" s="22">
        <v>20.001743407602696</v>
      </c>
      <c r="D30" s="22">
        <v>16.185536960537195</v>
      </c>
      <c r="E30" s="22">
        <v>12.658670885271041</v>
      </c>
      <c r="F30" s="22">
        <v>9.675391965744689</v>
      </c>
      <c r="G30" s="22">
        <v>7.1985074946132617</v>
      </c>
      <c r="H30" s="22">
        <v>5.2684461529273037</v>
      </c>
      <c r="I30" s="22">
        <v>3.7313878727875172</v>
      </c>
      <c r="J30" s="22">
        <v>2.5709569723981396</v>
      </c>
      <c r="K30" s="22">
        <v>1.7391923454184068</v>
      </c>
      <c r="L30" s="22">
        <v>1.1813540269795746</v>
      </c>
      <c r="N30" s="22">
        <f t="shared" si="10"/>
        <v>500</v>
      </c>
      <c r="O30" s="22">
        <f t="shared" si="11"/>
        <v>0.50861627479832094</v>
      </c>
      <c r="P30" s="22">
        <f t="shared" si="1"/>
        <v>0.56848050274276218</v>
      </c>
      <c r="Q30" s="22">
        <f t="shared" si="2"/>
        <v>0.46694212945861402</v>
      </c>
      <c r="R30" s="22">
        <f t="shared" si="3"/>
        <v>0.40346747005609451</v>
      </c>
      <c r="S30" s="22">
        <f t="shared" si="4"/>
        <v>0.32659782330964937</v>
      </c>
      <c r="T30" s="22">
        <f t="shared" si="5"/>
        <v>0.30062575318628149</v>
      </c>
      <c r="U30" s="22">
        <f t="shared" si="6"/>
        <v>0.22415801372748811</v>
      </c>
      <c r="V30" s="22">
        <f t="shared" si="7"/>
        <v>0.14938432254282574</v>
      </c>
      <c r="W30" s="22">
        <f t="shared" si="8"/>
        <v>0.10146186247688949</v>
      </c>
      <c r="X30" s="22">
        <f t="shared" si="9"/>
        <v>9.4693032237285868E-2</v>
      </c>
    </row>
    <row r="31" spans="2:24" x14ac:dyDescent="0.3">
      <c r="B31" s="2">
        <v>600</v>
      </c>
      <c r="C31" s="22">
        <v>19.79675346163847</v>
      </c>
      <c r="D31" s="22">
        <v>15.887710506585911</v>
      </c>
      <c r="E31" s="22">
        <v>12.472271400501764</v>
      </c>
      <c r="F31" s="22">
        <v>9.5204868552013764</v>
      </c>
      <c r="G31" s="22">
        <v>7.1104058552430844</v>
      </c>
      <c r="H31" s="22">
        <v>5.2573445071807159</v>
      </c>
      <c r="I31" s="22">
        <v>3.7716572469427718</v>
      </c>
      <c r="J31" s="22">
        <v>2.6464147086133298</v>
      </c>
      <c r="K31" s="22">
        <v>1.8118942621251186</v>
      </c>
      <c r="L31" s="22">
        <v>1.2147844594638677</v>
      </c>
      <c r="N31" s="22">
        <f t="shared" si="10"/>
        <v>600</v>
      </c>
      <c r="O31" s="22">
        <f t="shared" si="11"/>
        <v>0.30362632883409546</v>
      </c>
      <c r="P31" s="22">
        <f t="shared" si="1"/>
        <v>0.27065404879147792</v>
      </c>
      <c r="Q31" s="22">
        <f t="shared" si="2"/>
        <v>0.2805426446893371</v>
      </c>
      <c r="R31" s="22">
        <f t="shared" si="3"/>
        <v>0.24856235951278194</v>
      </c>
      <c r="S31" s="22">
        <f t="shared" si="4"/>
        <v>0.23849618393947214</v>
      </c>
      <c r="T31" s="22">
        <f t="shared" si="5"/>
        <v>0.2895241074396937</v>
      </c>
      <c r="U31" s="22">
        <f t="shared" si="6"/>
        <v>0.26442738788274278</v>
      </c>
      <c r="V31" s="22">
        <f t="shared" si="7"/>
        <v>0.22484205875801599</v>
      </c>
      <c r="W31" s="22">
        <f t="shared" si="8"/>
        <v>0.17416377918360126</v>
      </c>
      <c r="X31" s="22">
        <f t="shared" si="9"/>
        <v>0.12812346472157898</v>
      </c>
    </row>
    <row r="32" spans="2:24" x14ac:dyDescent="0.3">
      <c r="B32" s="2">
        <v>700</v>
      </c>
      <c r="C32" s="22">
        <v>19.839377965920185</v>
      </c>
      <c r="D32" s="22">
        <v>15.938784312319038</v>
      </c>
      <c r="E32" s="22">
        <v>12.488066490869326</v>
      </c>
      <c r="F32" s="22">
        <v>9.5307913419486354</v>
      </c>
      <c r="G32" s="22">
        <v>7.1274037799017673</v>
      </c>
      <c r="H32" s="22">
        <v>5.2344220377741557</v>
      </c>
      <c r="I32" s="22">
        <v>3.7431765040308496</v>
      </c>
      <c r="J32" s="22">
        <v>2.6217017181665447</v>
      </c>
      <c r="K32" s="22">
        <v>1.7922828083465168</v>
      </c>
      <c r="L32" s="22">
        <v>1.2008329811683101</v>
      </c>
      <c r="N32" s="22">
        <f t="shared" si="10"/>
        <v>700</v>
      </c>
      <c r="O32" s="22">
        <f t="shared" si="11"/>
        <v>0.34625083311581051</v>
      </c>
      <c r="P32" s="22">
        <f t="shared" si="1"/>
        <v>0.32172785452460495</v>
      </c>
      <c r="Q32" s="22">
        <f t="shared" si="2"/>
        <v>0.29633773505689831</v>
      </c>
      <c r="R32" s="22">
        <f t="shared" si="3"/>
        <v>0.25886684626004097</v>
      </c>
      <c r="S32" s="22">
        <f t="shared" si="4"/>
        <v>0.25549410859815502</v>
      </c>
      <c r="T32" s="22">
        <f t="shared" si="5"/>
        <v>0.26660163803313353</v>
      </c>
      <c r="U32" s="22">
        <f t="shared" si="6"/>
        <v>0.23594664497082052</v>
      </c>
      <c r="V32" s="22">
        <f t="shared" si="7"/>
        <v>0.2001290683112309</v>
      </c>
      <c r="W32" s="22">
        <f t="shared" si="8"/>
        <v>0.15455232540499941</v>
      </c>
      <c r="X32" s="22">
        <f t="shared" si="9"/>
        <v>0.11417198642602133</v>
      </c>
    </row>
    <row r="33" spans="2:24" x14ac:dyDescent="0.3">
      <c r="B33" s="2">
        <v>800</v>
      </c>
      <c r="C33" s="22">
        <v>19.80027002851125</v>
      </c>
      <c r="D33" s="22">
        <v>15.961872860438939</v>
      </c>
      <c r="E33" s="22">
        <v>12.516181036416921</v>
      </c>
      <c r="F33" s="22">
        <v>9.5574337899397204</v>
      </c>
      <c r="G33" s="22">
        <v>7.1864591578279269</v>
      </c>
      <c r="H33" s="22">
        <v>5.2855541846463208</v>
      </c>
      <c r="I33" s="22">
        <v>3.7920396962782679</v>
      </c>
      <c r="J33" s="22">
        <v>2.649697571665186</v>
      </c>
      <c r="K33" s="22">
        <v>1.7887070525157391</v>
      </c>
      <c r="L33" s="22">
        <v>1.1864398186144942</v>
      </c>
      <c r="N33" s="22">
        <f t="shared" si="10"/>
        <v>800</v>
      </c>
      <c r="O33" s="22">
        <f t="shared" si="11"/>
        <v>0.3071428957068747</v>
      </c>
      <c r="P33" s="22">
        <f t="shared" si="1"/>
        <v>0.34481640264450597</v>
      </c>
      <c r="Q33" s="22">
        <f t="shared" si="2"/>
        <v>0.32445228060449338</v>
      </c>
      <c r="R33" s="22">
        <f t="shared" si="3"/>
        <v>0.28550929425112592</v>
      </c>
      <c r="S33" s="22">
        <f t="shared" si="4"/>
        <v>0.31454948652431458</v>
      </c>
      <c r="T33" s="22">
        <f t="shared" si="5"/>
        <v>0.31773378490529858</v>
      </c>
      <c r="U33" s="22">
        <f t="shared" si="6"/>
        <v>0.28480983721823883</v>
      </c>
      <c r="V33" s="22">
        <f t="shared" si="7"/>
        <v>0.22812492180987221</v>
      </c>
      <c r="W33" s="22">
        <f t="shared" si="8"/>
        <v>0.15097656957422179</v>
      </c>
      <c r="X33" s="22">
        <f t="shared" si="9"/>
        <v>9.9778823872205491E-2</v>
      </c>
    </row>
    <row r="34" spans="2:24" x14ac:dyDescent="0.3">
      <c r="B34" s="2">
        <v>900</v>
      </c>
      <c r="C34" s="22">
        <v>19.517342123506101</v>
      </c>
      <c r="D34" s="22">
        <v>15.659885182822579</v>
      </c>
      <c r="E34" s="22">
        <v>12.228079534949293</v>
      </c>
      <c r="F34" s="22">
        <v>9.3893746226989183</v>
      </c>
      <c r="G34" s="22">
        <v>7.0066383574308322</v>
      </c>
      <c r="H34" s="22">
        <v>5.1253397980312299</v>
      </c>
      <c r="I34" s="22">
        <v>3.6386092717420224</v>
      </c>
      <c r="J34" s="22">
        <v>2.5704033147077174</v>
      </c>
      <c r="K34" s="22">
        <v>1.734411613961004</v>
      </c>
      <c r="L34" s="22">
        <v>1.158048961358314</v>
      </c>
      <c r="N34" s="22">
        <f t="shared" si="10"/>
        <v>900</v>
      </c>
      <c r="O34" s="22">
        <f t="shared" si="11"/>
        <v>2.4214990701725725E-2</v>
      </c>
      <c r="P34" s="22">
        <f t="shared" si="1"/>
        <v>4.2828725028146053E-2</v>
      </c>
      <c r="Q34" s="22">
        <f t="shared" si="2"/>
        <v>3.6350779136865796E-2</v>
      </c>
      <c r="R34" s="22">
        <f t="shared" si="3"/>
        <v>0.11745012701032387</v>
      </c>
      <c r="S34" s="22">
        <f t="shared" si="4"/>
        <v>0.13472868612721989</v>
      </c>
      <c r="T34" s="22">
        <f t="shared" si="5"/>
        <v>0.15751939829020767</v>
      </c>
      <c r="U34" s="22">
        <f t="shared" si="6"/>
        <v>0.13137941268199338</v>
      </c>
      <c r="V34" s="22">
        <f t="shared" si="7"/>
        <v>0.14883066485240359</v>
      </c>
      <c r="W34" s="22">
        <f t="shared" si="8"/>
        <v>9.668113101948661E-2</v>
      </c>
      <c r="X34" s="22">
        <f t="shared" si="9"/>
        <v>7.1387966616025311E-2</v>
      </c>
    </row>
    <row r="35" spans="2:24" x14ac:dyDescent="0.3">
      <c r="B35" s="2">
        <v>1000</v>
      </c>
      <c r="C35" s="22">
        <v>19.740971305389252</v>
      </c>
      <c r="D35" s="22">
        <v>15.843272744796916</v>
      </c>
      <c r="E35" s="22">
        <v>12.328876732610052</v>
      </c>
      <c r="F35" s="22">
        <v>9.3840328543204432</v>
      </c>
      <c r="G35" s="22">
        <v>7.0093207168093166</v>
      </c>
      <c r="H35" s="22">
        <v>5.0773773535119613</v>
      </c>
      <c r="I35" s="22">
        <v>3.5642622286538184</v>
      </c>
      <c r="J35" s="22">
        <v>2.3674285780987026</v>
      </c>
      <c r="K35" s="22">
        <v>1.6911809846996735</v>
      </c>
      <c r="L35" s="22">
        <v>1.1147626423090782</v>
      </c>
      <c r="N35" s="22">
        <f t="shared" si="10"/>
        <v>1000</v>
      </c>
      <c r="O35" s="22">
        <f t="shared" si="11"/>
        <v>0.24784417258487679</v>
      </c>
      <c r="P35" s="22">
        <f t="shared" si="1"/>
        <v>0.22621628700248309</v>
      </c>
      <c r="Q35" s="22">
        <f t="shared" si="2"/>
        <v>0.13714797679762469</v>
      </c>
      <c r="R35" s="22">
        <f t="shared" si="3"/>
        <v>0.11210835863184876</v>
      </c>
      <c r="S35" s="22">
        <f t="shared" si="4"/>
        <v>0.13741104550570427</v>
      </c>
      <c r="T35" s="22">
        <f t="shared" si="5"/>
        <v>0.1095569537709391</v>
      </c>
      <c r="U35" s="22">
        <f t="shared" si="6"/>
        <v>5.7032369593789323E-2</v>
      </c>
      <c r="V35" s="22">
        <f t="shared" si="7"/>
        <v>-5.4144071756611289E-2</v>
      </c>
      <c r="W35" s="22">
        <f t="shared" si="8"/>
        <v>5.3450501758156133E-2</v>
      </c>
      <c r="X35" s="22">
        <f t="shared" si="9"/>
        <v>2.8101647566789456E-2</v>
      </c>
    </row>
    <row r="36" spans="2:24" x14ac:dyDescent="0.3">
      <c r="B36" s="2">
        <v>1500</v>
      </c>
      <c r="C36" s="22">
        <v>19.642516941569301</v>
      </c>
      <c r="D36" s="22">
        <v>15.815512001854577</v>
      </c>
      <c r="E36" s="22">
        <v>12.384839236507554</v>
      </c>
      <c r="F36" s="22">
        <v>9.4552026244335234</v>
      </c>
      <c r="G36" s="22">
        <v>7.0287478051472956</v>
      </c>
      <c r="H36" s="22">
        <v>5.1419302931619137</v>
      </c>
      <c r="I36" s="22">
        <v>3.6190618111395385</v>
      </c>
      <c r="J36" s="22">
        <v>2.5127137781088034</v>
      </c>
      <c r="K36" s="22">
        <v>1.6859147662943661</v>
      </c>
      <c r="L36" s="22">
        <v>1.1206347234354133</v>
      </c>
      <c r="N36" s="22">
        <f t="shared" si="10"/>
        <v>1500</v>
      </c>
      <c r="O36" s="22">
        <f t="shared" si="11"/>
        <v>0.14938980876492636</v>
      </c>
      <c r="P36" s="22">
        <f t="shared" si="1"/>
        <v>0.19845554406014365</v>
      </c>
      <c r="Q36" s="22">
        <f t="shared" si="2"/>
        <v>0.19311048069512715</v>
      </c>
      <c r="R36" s="22">
        <f t="shared" si="3"/>
        <v>0.18327812874492899</v>
      </c>
      <c r="S36" s="22">
        <f t="shared" si="4"/>
        <v>0.15683813384368328</v>
      </c>
      <c r="T36" s="22">
        <f t="shared" si="5"/>
        <v>0.17410989342089156</v>
      </c>
      <c r="U36" s="22">
        <f t="shared" si="6"/>
        <v>0.11183195207950947</v>
      </c>
      <c r="V36" s="22">
        <f t="shared" si="7"/>
        <v>9.1141128253489523E-2</v>
      </c>
      <c r="W36" s="22">
        <f t="shared" si="8"/>
        <v>4.8184283352848745E-2</v>
      </c>
      <c r="X36" s="22">
        <f t="shared" si="9"/>
        <v>3.3973728693124539E-2</v>
      </c>
    </row>
    <row r="37" spans="2:24" x14ac:dyDescent="0.3">
      <c r="B37" s="2">
        <v>2000</v>
      </c>
      <c r="C37" s="22">
        <v>19.64123173287625</v>
      </c>
      <c r="D37" s="22">
        <v>15.754373702070097</v>
      </c>
      <c r="E37" s="22">
        <v>12.342841690374525</v>
      </c>
      <c r="F37" s="22">
        <v>9.4577628886112031</v>
      </c>
      <c r="G37" s="22">
        <v>7.0694371904118043</v>
      </c>
      <c r="H37" s="22">
        <v>5.1622030019016654</v>
      </c>
      <c r="I37" s="22">
        <v>3.6735694191682255</v>
      </c>
      <c r="J37" s="22">
        <v>2.5326421201924725</v>
      </c>
      <c r="K37" s="22">
        <v>1.6792343632619526</v>
      </c>
      <c r="L37" s="22">
        <v>1.1046159708205154</v>
      </c>
      <c r="N37" s="22">
        <f t="shared" si="10"/>
        <v>2000</v>
      </c>
      <c r="O37" s="22">
        <f t="shared" si="11"/>
        <v>0.14810460007187487</v>
      </c>
      <c r="P37" s="22">
        <f t="shared" si="1"/>
        <v>0.13731724427566405</v>
      </c>
      <c r="Q37" s="22">
        <f t="shared" si="2"/>
        <v>0.15111293456209829</v>
      </c>
      <c r="R37" s="22">
        <f t="shared" si="3"/>
        <v>0.18583839292260862</v>
      </c>
      <c r="S37" s="22">
        <f t="shared" si="4"/>
        <v>0.197527519108192</v>
      </c>
      <c r="T37" s="22">
        <f t="shared" si="5"/>
        <v>0.19438260216064318</v>
      </c>
      <c r="U37" s="22">
        <f t="shared" si="6"/>
        <v>0.1663395601081965</v>
      </c>
      <c r="V37" s="22">
        <f t="shared" si="7"/>
        <v>0.11106947033715864</v>
      </c>
      <c r="W37" s="22">
        <f t="shared" si="8"/>
        <v>4.1503880320435282E-2</v>
      </c>
      <c r="X37" s="22">
        <f t="shared" si="9"/>
        <v>1.7954976078226714E-2</v>
      </c>
    </row>
    <row r="38" spans="2:24" x14ac:dyDescent="0.3">
      <c r="B38" s="2">
        <v>3000</v>
      </c>
      <c r="C38" s="22">
        <v>19.475860270798854</v>
      </c>
      <c r="D38" s="22">
        <v>15.630546691281548</v>
      </c>
      <c r="E38" s="22">
        <v>12.228025782853132</v>
      </c>
      <c r="F38" s="22">
        <v>9.3543893670027174</v>
      </c>
      <c r="G38" s="22">
        <v>6.9731932490834554</v>
      </c>
      <c r="H38" s="22">
        <v>5.08375969211989</v>
      </c>
      <c r="I38" s="22">
        <v>3.6099398922239367</v>
      </c>
      <c r="J38" s="22">
        <v>2.4912203367937913</v>
      </c>
      <c r="K38" s="22">
        <v>1.6838953456384278</v>
      </c>
      <c r="L38" s="22">
        <v>1.1023803639923297</v>
      </c>
      <c r="N38" s="22">
        <f t="shared" si="10"/>
        <v>3000</v>
      </c>
      <c r="O38" s="22">
        <f t="shared" si="11"/>
        <v>-1.7266862005520522E-2</v>
      </c>
      <c r="P38" s="22">
        <f t="shared" si="1"/>
        <v>1.3490233487114978E-2</v>
      </c>
      <c r="Q38" s="22">
        <f t="shared" si="2"/>
        <v>3.6297027040705032E-2</v>
      </c>
      <c r="R38" s="22">
        <f t="shared" si="3"/>
        <v>8.2464871314122945E-2</v>
      </c>
      <c r="S38" s="22">
        <f t="shared" si="4"/>
        <v>0.10128357777984309</v>
      </c>
      <c r="T38" s="22">
        <f t="shared" si="5"/>
        <v>0.1159392923788678</v>
      </c>
      <c r="U38" s="22">
        <f t="shared" si="6"/>
        <v>0.1027100331639077</v>
      </c>
      <c r="V38" s="22">
        <f t="shared" si="7"/>
        <v>6.9647686938477449E-2</v>
      </c>
      <c r="W38" s="22">
        <f t="shared" si="8"/>
        <v>4.6164862696910447E-2</v>
      </c>
      <c r="X38" s="22">
        <f t="shared" si="9"/>
        <v>1.5719369250041026E-2</v>
      </c>
    </row>
    <row r="39" spans="2:24" x14ac:dyDescent="0.3">
      <c r="B39" s="2">
        <v>4000</v>
      </c>
      <c r="C39" s="22">
        <v>19.63784434913352</v>
      </c>
      <c r="D39" s="22">
        <v>15.763283149116415</v>
      </c>
      <c r="E39" s="22">
        <v>12.333519322867813</v>
      </c>
      <c r="F39" s="22">
        <v>9.419852437699447</v>
      </c>
      <c r="G39" s="22">
        <v>7.0328439538393646</v>
      </c>
      <c r="H39" s="22">
        <v>5.1252184783168628</v>
      </c>
      <c r="I39" s="22">
        <v>3.6297805850992977</v>
      </c>
      <c r="J39" s="22">
        <v>2.5132036747462339</v>
      </c>
      <c r="K39" s="22">
        <v>1.7107307619187122</v>
      </c>
      <c r="L39" s="22">
        <v>1.1206427838686863</v>
      </c>
      <c r="N39" s="22">
        <f t="shared" si="10"/>
        <v>4000</v>
      </c>
      <c r="O39" s="22">
        <f t="shared" si="11"/>
        <v>0.1447172163291448</v>
      </c>
      <c r="P39" s="22">
        <f t="shared" si="1"/>
        <v>0.14622669132198141</v>
      </c>
      <c r="Q39" s="22">
        <f t="shared" si="2"/>
        <v>0.14179056705538606</v>
      </c>
      <c r="R39" s="22">
        <f t="shared" si="3"/>
        <v>0.14792794201085258</v>
      </c>
      <c r="S39" s="22">
        <f t="shared" si="4"/>
        <v>0.16093428253575226</v>
      </c>
      <c r="T39" s="22">
        <f t="shared" si="5"/>
        <v>0.15739807857584065</v>
      </c>
      <c r="U39" s="22">
        <f t="shared" si="6"/>
        <v>0.12255072603926864</v>
      </c>
      <c r="V39" s="22">
        <f t="shared" si="7"/>
        <v>9.163102489092001E-2</v>
      </c>
      <c r="W39" s="22">
        <f t="shared" si="8"/>
        <v>7.3000278977194855E-2</v>
      </c>
      <c r="X39" s="22">
        <f t="shared" si="9"/>
        <v>3.3981789126397599E-2</v>
      </c>
    </row>
    <row r="40" spans="2:24" x14ac:dyDescent="0.3">
      <c r="B40" s="2">
        <v>5000</v>
      </c>
      <c r="C40" s="23">
        <v>19.659083988171041</v>
      </c>
      <c r="D40" s="23">
        <v>15.790070102596353</v>
      </c>
      <c r="E40" s="23">
        <v>12.360070817245962</v>
      </c>
      <c r="F40" s="23">
        <v>9.4459334272730313</v>
      </c>
      <c r="G40" s="23">
        <v>7.0554192092503731</v>
      </c>
      <c r="H40" s="23">
        <v>5.1458340234805942</v>
      </c>
      <c r="I40" s="23">
        <v>3.6583397913294688</v>
      </c>
      <c r="J40" s="23">
        <v>2.5471673483129971</v>
      </c>
      <c r="K40" s="23">
        <v>1.734517728367756</v>
      </c>
      <c r="L40" s="23">
        <v>1.1532111948460924</v>
      </c>
      <c r="N40" s="23">
        <f t="shared" si="10"/>
        <v>5000</v>
      </c>
      <c r="O40" s="23">
        <f t="shared" si="11"/>
        <v>0.16595685536666593</v>
      </c>
      <c r="P40" s="23">
        <f t="shared" si="1"/>
        <v>0.1730136448019195</v>
      </c>
      <c r="Q40" s="23">
        <f t="shared" si="2"/>
        <v>0.1683420614335347</v>
      </c>
      <c r="R40" s="23">
        <f t="shared" si="3"/>
        <v>0.17400893158443687</v>
      </c>
      <c r="S40" s="23">
        <f t="shared" si="4"/>
        <v>0.18350953794676084</v>
      </c>
      <c r="T40" s="23">
        <f t="shared" si="5"/>
        <v>0.17801362373957197</v>
      </c>
      <c r="U40" s="23">
        <f t="shared" si="6"/>
        <v>0.15110993226943981</v>
      </c>
      <c r="V40" s="23">
        <f t="shared" si="7"/>
        <v>0.12559469845768323</v>
      </c>
      <c r="W40" s="23">
        <f t="shared" si="8"/>
        <v>9.6787245426238622E-2</v>
      </c>
      <c r="X40" s="23">
        <f t="shared" si="9"/>
        <v>6.6550200103803636E-2</v>
      </c>
    </row>
  </sheetData>
  <mergeCells count="3">
    <mergeCell ref="B4:C4"/>
    <mergeCell ref="E4:F4"/>
    <mergeCell ref="H4:I4"/>
  </mergeCells>
  <dataValidations count="4">
    <dataValidation type="list" errorStyle="warning" allowBlank="1" showInputMessage="1" showErrorMessage="1" sqref="F5" xr:uid="{1B7BB9E7-45EC-E645-9C75-901674164F8F}">
      <formula1>"Call,Put"</formula1>
    </dataValidation>
    <dataValidation type="decimal" errorStyle="warning" operator="greaterThan" allowBlank="1" showInputMessage="1" showErrorMessage="1" errorTitle="T-t &gt; 0" sqref="F7 C9 I5" xr:uid="{E8ADF845-F128-1E40-A1D3-DABA4523426A}">
      <formula1>0</formula1>
    </dataValidation>
    <dataValidation type="list" allowBlank="1" showInputMessage="1" showErrorMessage="1" sqref="B8" xr:uid="{7C842AEE-67D8-044A-8F76-4FB6F513D96C}">
      <formula1>"Discrete Dividend:,Continuous Dividend:"</formula1>
    </dataValidation>
    <dataValidation type="list" allowBlank="1" showInputMessage="1" showErrorMessage="1" sqref="I9" xr:uid="{0234E1F2-6B56-F34A-96FD-7EDCC2EB883C}">
      <formula1>"Linear,Quadratic,Cubic,Quartic,Quintic,Sextic"</formula1>
    </dataValidation>
  </dataValidations>
  <pageMargins left="0.7" right="0.7" top="0.75" bottom="0.75" header="0.3" footer="0.3"/>
  <ignoredErrors>
    <ignoredError sqref="N17:O17 P16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3994-CCF0-5E4E-A4B5-BC7881268A54}">
  <sheetPr codeName="Feuil3"/>
  <dimension ref="A1:I151"/>
  <sheetViews>
    <sheetView topLeftCell="A3" zoomScale="85" zoomScaleNormal="85" workbookViewId="0">
      <selection activeCell="I9" sqref="I9"/>
    </sheetView>
  </sheetViews>
  <sheetFormatPr baseColWidth="10" defaultColWidth="10.796875" defaultRowHeight="15.6" x14ac:dyDescent="0.3"/>
  <cols>
    <col min="1" max="16384" width="10.796875" style="2"/>
  </cols>
  <sheetData>
    <row r="1" spans="1:9" ht="23.4" x14ac:dyDescent="0.45">
      <c r="D1" s="17" t="s">
        <v>48</v>
      </c>
    </row>
    <row r="4" spans="1:9" x14ac:dyDescent="0.3">
      <c r="B4" s="39" t="s">
        <v>9</v>
      </c>
      <c r="C4" s="39"/>
      <c r="D4" s="1"/>
      <c r="E4" s="39" t="s">
        <v>0</v>
      </c>
      <c r="F4" s="39"/>
      <c r="G4" s="1"/>
      <c r="H4" s="39" t="s">
        <v>10</v>
      </c>
      <c r="I4" s="39"/>
    </row>
    <row r="5" spans="1:9" x14ac:dyDescent="0.3">
      <c r="B5" s="3" t="s">
        <v>6</v>
      </c>
      <c r="C5" s="5">
        <f>Spot</f>
        <v>110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9" ht="16.2" x14ac:dyDescent="0.3">
      <c r="B6" s="3" t="s">
        <v>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100</v>
      </c>
    </row>
    <row r="7" spans="1:9" ht="16.2" x14ac:dyDescent="0.3">
      <c r="B7" s="3" t="s">
        <v>8</v>
      </c>
      <c r="C7" s="8">
        <v>0.03</v>
      </c>
      <c r="D7" s="2" t="s">
        <v>20</v>
      </c>
      <c r="E7" s="3" t="s">
        <v>16</v>
      </c>
      <c r="F7" s="6">
        <v>46752</v>
      </c>
      <c r="G7" s="1"/>
      <c r="H7" s="1" t="s">
        <v>4</v>
      </c>
      <c r="I7" s="10">
        <v>100</v>
      </c>
    </row>
    <row r="8" spans="1:9" x14ac:dyDescent="0.3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</row>
    <row r="9" spans="1:9" x14ac:dyDescent="0.3">
      <c r="B9" s="15"/>
      <c r="C9" s="1"/>
      <c r="E9" s="1"/>
      <c r="F9" s="1"/>
      <c r="G9" s="1"/>
      <c r="H9" s="1" t="s">
        <v>11</v>
      </c>
      <c r="I9" s="7" t="s">
        <v>12</v>
      </c>
    </row>
    <row r="12" spans="1:9" x14ac:dyDescent="0.3">
      <c r="A12" s="2" t="s">
        <v>55</v>
      </c>
      <c r="B12" s="26" t="s">
        <v>49</v>
      </c>
      <c r="C12" s="26" t="s">
        <v>12</v>
      </c>
      <c r="D12" s="26" t="s">
        <v>50</v>
      </c>
      <c r="E12" s="26" t="s">
        <v>51</v>
      </c>
      <c r="F12" s="26" t="s">
        <v>52</v>
      </c>
      <c r="G12" s="26" t="s">
        <v>53</v>
      </c>
    </row>
    <row r="13" spans="1:9" x14ac:dyDescent="0.3">
      <c r="A13" s="24">
        <v>10</v>
      </c>
      <c r="B13" s="2">
        <v>16.025884724413967</v>
      </c>
      <c r="C13" s="2">
        <v>16.091346996392044</v>
      </c>
      <c r="D13" s="2">
        <v>15.592640020591743</v>
      </c>
      <c r="E13" s="2">
        <v>16.62242811703187</v>
      </c>
      <c r="F13" s="2">
        <v>16.797150057250356</v>
      </c>
      <c r="G13" s="2">
        <v>17.214177010201499</v>
      </c>
    </row>
    <row r="14" spans="1:9" x14ac:dyDescent="0.3">
      <c r="A14" s="25">
        <v>15</v>
      </c>
      <c r="B14" s="2">
        <v>17.249128556173368</v>
      </c>
      <c r="C14" s="2">
        <v>15.950104280176783</v>
      </c>
      <c r="D14" s="2">
        <v>17.870336481902058</v>
      </c>
      <c r="E14" s="2">
        <v>18.366828787337944</v>
      </c>
      <c r="F14" s="2">
        <v>17.952491373494937</v>
      </c>
      <c r="G14" s="2">
        <v>18.516646892244985</v>
      </c>
    </row>
    <row r="15" spans="1:9" x14ac:dyDescent="0.3">
      <c r="A15" s="25">
        <v>20</v>
      </c>
      <c r="B15" s="2">
        <v>13.132327641981368</v>
      </c>
      <c r="C15" s="2">
        <v>13.518752930996561</v>
      </c>
      <c r="D15" s="2">
        <v>14.655043125264376</v>
      </c>
      <c r="E15" s="2">
        <v>15.165026652109059</v>
      </c>
      <c r="F15" s="2">
        <v>15.585491923556896</v>
      </c>
      <c r="G15" s="2">
        <v>15.26693065684027</v>
      </c>
    </row>
    <row r="16" spans="1:9" x14ac:dyDescent="0.3">
      <c r="A16" s="25">
        <v>25</v>
      </c>
      <c r="B16" s="2">
        <v>13.768195560879958</v>
      </c>
      <c r="C16" s="2">
        <v>14.798569434072345</v>
      </c>
      <c r="D16" s="2">
        <v>15.060247079387668</v>
      </c>
      <c r="E16" s="2">
        <v>16.216421337153836</v>
      </c>
      <c r="F16" s="2">
        <v>15.920513412523</v>
      </c>
      <c r="G16" s="2">
        <v>15.351366401093294</v>
      </c>
    </row>
    <row r="17" spans="1:7" x14ac:dyDescent="0.3">
      <c r="A17" s="25">
        <v>30</v>
      </c>
      <c r="B17" s="2">
        <v>15.724228276134543</v>
      </c>
      <c r="C17" s="2">
        <v>16.56962548475499</v>
      </c>
      <c r="D17" s="2">
        <v>15.747512945469046</v>
      </c>
      <c r="E17" s="2">
        <v>17.227238566916522</v>
      </c>
      <c r="F17" s="2">
        <v>17.038592922015965</v>
      </c>
      <c r="G17" s="2">
        <v>17.546345359770658</v>
      </c>
    </row>
    <row r="18" spans="1:7" x14ac:dyDescent="0.3">
      <c r="A18" s="25">
        <v>35</v>
      </c>
      <c r="B18" s="2">
        <v>14.652022917159446</v>
      </c>
      <c r="C18" s="2">
        <v>15.872794144201336</v>
      </c>
      <c r="D18" s="2">
        <v>16.012124420824623</v>
      </c>
      <c r="E18" s="2">
        <v>16.834360720893983</v>
      </c>
      <c r="F18" s="2">
        <v>16.596151853905496</v>
      </c>
      <c r="G18" s="2">
        <v>16.178658830792866</v>
      </c>
    </row>
    <row r="19" spans="1:7" x14ac:dyDescent="0.3">
      <c r="A19" s="25">
        <v>40</v>
      </c>
      <c r="B19" s="2">
        <v>13.368788170462715</v>
      </c>
      <c r="C19" s="2">
        <v>15.945893153853074</v>
      </c>
      <c r="D19" s="2">
        <v>15.580839160417645</v>
      </c>
      <c r="E19" s="2">
        <v>17.049915936935289</v>
      </c>
      <c r="F19" s="2">
        <v>17.313839886486676</v>
      </c>
      <c r="G19" s="2">
        <v>16.491966170047295</v>
      </c>
    </row>
    <row r="20" spans="1:7" x14ac:dyDescent="0.3">
      <c r="A20" s="25">
        <v>45</v>
      </c>
      <c r="B20" s="2">
        <v>15.992690877989446</v>
      </c>
      <c r="C20" s="2">
        <v>16.741604659610623</v>
      </c>
      <c r="D20" s="2">
        <v>16.767299506974322</v>
      </c>
      <c r="E20" s="2">
        <v>17.450475788372728</v>
      </c>
      <c r="F20" s="2">
        <v>18.042872972768357</v>
      </c>
      <c r="G20" s="2">
        <v>17.962208693969512</v>
      </c>
    </row>
    <row r="21" spans="1:7" x14ac:dyDescent="0.3">
      <c r="A21" s="25">
        <v>50</v>
      </c>
      <c r="B21" s="2">
        <v>16.336987229043704</v>
      </c>
      <c r="C21" s="2">
        <v>18.914555577730926</v>
      </c>
      <c r="D21" s="2">
        <v>18.069523081739657</v>
      </c>
      <c r="E21" s="2">
        <v>18.846341984969094</v>
      </c>
      <c r="F21" s="2">
        <v>19.121749479241508</v>
      </c>
      <c r="G21" s="2">
        <v>19.240578360880658</v>
      </c>
    </row>
    <row r="22" spans="1:7" x14ac:dyDescent="0.3">
      <c r="A22" s="25">
        <v>55</v>
      </c>
      <c r="B22" s="2">
        <v>11.453371943661304</v>
      </c>
      <c r="C22" s="2">
        <v>16.80944012197557</v>
      </c>
      <c r="D22" s="2">
        <v>16.509700030080936</v>
      </c>
      <c r="E22" s="2">
        <v>16.252509322176692</v>
      </c>
      <c r="F22" s="2">
        <v>16.202293163218993</v>
      </c>
      <c r="G22" s="2">
        <v>17.418700653316769</v>
      </c>
    </row>
    <row r="23" spans="1:7" x14ac:dyDescent="0.3">
      <c r="A23" s="25">
        <v>60</v>
      </c>
      <c r="B23" s="2">
        <v>16.050780916306458</v>
      </c>
      <c r="C23" s="2">
        <v>16.450812769668378</v>
      </c>
      <c r="D23" s="2">
        <v>17.052711133654412</v>
      </c>
      <c r="E23" s="2">
        <v>17.05249432166141</v>
      </c>
      <c r="F23" s="2">
        <v>15.678252760680088</v>
      </c>
      <c r="G23" s="2">
        <v>17.319477891153763</v>
      </c>
    </row>
    <row r="24" spans="1:7" x14ac:dyDescent="0.3">
      <c r="A24" s="25">
        <v>65</v>
      </c>
      <c r="B24" s="2">
        <v>15.823142798742726</v>
      </c>
      <c r="C24" s="2">
        <v>16.025741949269957</v>
      </c>
      <c r="D24" s="2">
        <v>19.414662685891148</v>
      </c>
      <c r="E24" s="2">
        <v>18.283947692228018</v>
      </c>
      <c r="F24" s="2">
        <v>18.435405376300245</v>
      </c>
      <c r="G24" s="2">
        <v>18.948289451518306</v>
      </c>
    </row>
    <row r="25" spans="1:7" x14ac:dyDescent="0.3">
      <c r="A25" s="25">
        <v>70</v>
      </c>
      <c r="B25" s="2">
        <v>15.557350713168416</v>
      </c>
      <c r="C25" s="2">
        <v>16.491153141752768</v>
      </c>
      <c r="D25" s="2">
        <v>16.579802392975928</v>
      </c>
      <c r="E25" s="2">
        <v>16.801251451100065</v>
      </c>
      <c r="F25" s="2">
        <v>17.062038991268498</v>
      </c>
      <c r="G25" s="2">
        <v>17.665870149435523</v>
      </c>
    </row>
    <row r="26" spans="1:7" x14ac:dyDescent="0.3">
      <c r="A26" s="25">
        <v>75</v>
      </c>
      <c r="B26" s="2">
        <v>15.862463109506985</v>
      </c>
      <c r="C26" s="2">
        <v>16.722431770607475</v>
      </c>
      <c r="D26" s="2">
        <v>18.373570142371971</v>
      </c>
      <c r="E26" s="2">
        <v>19.151468360544989</v>
      </c>
      <c r="F26" s="2">
        <v>19.085664161217309</v>
      </c>
      <c r="G26" s="2">
        <v>18.514291514112216</v>
      </c>
    </row>
    <row r="27" spans="1:7" x14ac:dyDescent="0.3">
      <c r="A27" s="25">
        <v>80</v>
      </c>
      <c r="B27" s="2">
        <v>15.945852026021887</v>
      </c>
      <c r="C27" s="2">
        <v>15.299266120180393</v>
      </c>
      <c r="D27" s="2">
        <v>15.448515978159016</v>
      </c>
      <c r="E27" s="2">
        <v>17.432133730728843</v>
      </c>
      <c r="F27" s="2">
        <v>16.92774875134813</v>
      </c>
      <c r="G27" s="2">
        <v>17.487896985511707</v>
      </c>
    </row>
    <row r="28" spans="1:7" x14ac:dyDescent="0.3">
      <c r="A28" s="25">
        <v>85</v>
      </c>
      <c r="B28" s="2">
        <v>17.029123718255399</v>
      </c>
      <c r="C28" s="2">
        <v>13.286538618534955</v>
      </c>
      <c r="D28" s="2">
        <v>14.565365344973074</v>
      </c>
      <c r="E28" s="2">
        <v>17.843390253169709</v>
      </c>
      <c r="F28" s="2">
        <v>17.975025552136348</v>
      </c>
      <c r="G28" s="2">
        <v>18.297129583114113</v>
      </c>
    </row>
    <row r="29" spans="1:7" x14ac:dyDescent="0.3">
      <c r="A29" s="25">
        <v>90</v>
      </c>
      <c r="B29" s="2">
        <v>13.502902131647257</v>
      </c>
      <c r="C29" s="2">
        <v>16.287491531942038</v>
      </c>
      <c r="D29" s="2">
        <v>16.392103485282341</v>
      </c>
      <c r="E29" s="2">
        <v>17.378705631564674</v>
      </c>
      <c r="F29" s="2">
        <v>16.984803300068677</v>
      </c>
      <c r="G29" s="2">
        <v>17.262982867264096</v>
      </c>
    </row>
    <row r="30" spans="1:7" x14ac:dyDescent="0.3">
      <c r="A30" s="25">
        <v>95</v>
      </c>
      <c r="B30" s="2">
        <v>14.998003714564362</v>
      </c>
      <c r="C30" s="2">
        <v>15.457758367525239</v>
      </c>
      <c r="D30" s="2">
        <v>15.887136485991707</v>
      </c>
      <c r="E30" s="2">
        <v>16.052000194846752</v>
      </c>
      <c r="F30" s="2">
        <v>15.858201216572754</v>
      </c>
      <c r="G30" s="2">
        <v>16.266538457403573</v>
      </c>
    </row>
    <row r="31" spans="1:7" x14ac:dyDescent="0.3">
      <c r="A31" s="25">
        <v>100</v>
      </c>
      <c r="B31" s="2">
        <v>15.249761794273747</v>
      </c>
      <c r="C31" s="2">
        <v>17.233093948174584</v>
      </c>
      <c r="D31" s="2">
        <v>17.757351544625035</v>
      </c>
      <c r="E31" s="2">
        <v>17.238449357224503</v>
      </c>
      <c r="F31" s="2">
        <v>18.007267141240966</v>
      </c>
      <c r="G31" s="2">
        <v>16.779594790790444</v>
      </c>
    </row>
    <row r="32" spans="1:7" x14ac:dyDescent="0.3">
      <c r="A32" s="25">
        <v>110</v>
      </c>
      <c r="B32" s="2">
        <v>13.9003384076993</v>
      </c>
      <c r="C32" s="2">
        <v>15.725470221953264</v>
      </c>
      <c r="D32" s="2">
        <v>16.941343995254297</v>
      </c>
      <c r="E32" s="2">
        <v>17.563665309820347</v>
      </c>
      <c r="F32" s="2">
        <v>17.865401471962233</v>
      </c>
      <c r="G32" s="2">
        <v>18.674260052659992</v>
      </c>
    </row>
    <row r="33" spans="1:7" x14ac:dyDescent="0.3">
      <c r="A33" s="25">
        <v>120</v>
      </c>
      <c r="B33" s="2">
        <v>14.045774493029628</v>
      </c>
      <c r="C33" s="2">
        <v>16.298792649042355</v>
      </c>
      <c r="D33" s="2">
        <v>14.724803228943886</v>
      </c>
      <c r="E33" s="2">
        <v>17.716966321116356</v>
      </c>
      <c r="F33" s="2">
        <v>17.052575206521166</v>
      </c>
      <c r="G33" s="2">
        <v>17.051039528250808</v>
      </c>
    </row>
    <row r="34" spans="1:7" x14ac:dyDescent="0.3">
      <c r="A34" s="25">
        <v>130</v>
      </c>
      <c r="B34" s="2">
        <v>17.369095290190398</v>
      </c>
      <c r="C34" s="2">
        <v>16.980916244927634</v>
      </c>
      <c r="D34" s="2">
        <v>18.203691245272914</v>
      </c>
      <c r="E34" s="2">
        <v>18.953850311324342</v>
      </c>
      <c r="F34" s="2">
        <v>18.886602022161195</v>
      </c>
      <c r="G34" s="2">
        <v>18.602409341959728</v>
      </c>
    </row>
    <row r="35" spans="1:7" x14ac:dyDescent="0.3">
      <c r="A35" s="25">
        <v>140</v>
      </c>
      <c r="B35" s="2">
        <v>16.147025699738489</v>
      </c>
      <c r="C35" s="2">
        <v>15.779919486930144</v>
      </c>
      <c r="D35" s="2">
        <v>16.115386993463957</v>
      </c>
      <c r="E35" s="2">
        <v>16.976105989437507</v>
      </c>
      <c r="F35" s="2">
        <v>16.405890789074316</v>
      </c>
      <c r="G35" s="2">
        <v>16.914505056877182</v>
      </c>
    </row>
    <row r="36" spans="1:7" x14ac:dyDescent="0.3">
      <c r="A36" s="25">
        <v>150</v>
      </c>
      <c r="B36" s="2">
        <v>16.924509787942558</v>
      </c>
      <c r="C36" s="2">
        <v>18.229763323762075</v>
      </c>
      <c r="D36" s="2">
        <v>18.587844437136557</v>
      </c>
      <c r="E36" s="2">
        <v>18.016662338174086</v>
      </c>
      <c r="F36" s="2">
        <v>19.558834574347518</v>
      </c>
      <c r="G36" s="2">
        <v>19.126820927172915</v>
      </c>
    </row>
    <row r="37" spans="1:7" x14ac:dyDescent="0.3">
      <c r="A37" s="25">
        <v>160</v>
      </c>
      <c r="B37" s="2">
        <v>17.97957998422903</v>
      </c>
      <c r="C37" s="2">
        <v>18.156188521582624</v>
      </c>
      <c r="D37" s="2">
        <v>19.269089310385269</v>
      </c>
      <c r="E37" s="2">
        <v>18.56829745380125</v>
      </c>
      <c r="F37" s="2">
        <v>18.524177642470903</v>
      </c>
      <c r="G37" s="2">
        <v>18.911122115673717</v>
      </c>
    </row>
    <row r="38" spans="1:7" x14ac:dyDescent="0.3">
      <c r="A38" s="25">
        <v>170</v>
      </c>
      <c r="B38" s="2">
        <v>15.93431592468529</v>
      </c>
      <c r="C38" s="2">
        <v>16.395318822182709</v>
      </c>
      <c r="D38" s="2">
        <v>14.925372217246878</v>
      </c>
      <c r="E38" s="2">
        <v>16.392057868663244</v>
      </c>
      <c r="F38" s="2">
        <v>16.912935210430025</v>
      </c>
      <c r="G38" s="2">
        <v>14.936076083652294</v>
      </c>
    </row>
    <row r="39" spans="1:7" x14ac:dyDescent="0.3">
      <c r="A39" s="25">
        <v>180</v>
      </c>
      <c r="B39" s="2">
        <v>15.974133804367019</v>
      </c>
      <c r="C39" s="2">
        <v>16.828565215074178</v>
      </c>
      <c r="D39" s="2">
        <v>18.159116942937253</v>
      </c>
      <c r="E39" s="2">
        <v>18.646996081750846</v>
      </c>
      <c r="F39" s="2">
        <v>17.868579936086888</v>
      </c>
      <c r="G39" s="2">
        <v>17.095361748854209</v>
      </c>
    </row>
    <row r="40" spans="1:7" x14ac:dyDescent="0.3">
      <c r="A40" s="25">
        <v>190</v>
      </c>
      <c r="B40" s="2">
        <v>14.492667422031476</v>
      </c>
      <c r="C40" s="2">
        <v>16.420052445063135</v>
      </c>
      <c r="D40" s="2">
        <v>17.276852822579986</v>
      </c>
      <c r="E40" s="2">
        <v>17.25225229197817</v>
      </c>
      <c r="F40" s="2">
        <v>17.859836708618136</v>
      </c>
      <c r="G40" s="2">
        <v>17.659419899955779</v>
      </c>
    </row>
    <row r="41" spans="1:7" x14ac:dyDescent="0.3">
      <c r="A41" s="25">
        <v>200</v>
      </c>
      <c r="B41" s="2">
        <v>14.864750738461449</v>
      </c>
      <c r="C41" s="2">
        <v>16.115819736486504</v>
      </c>
      <c r="D41" s="2">
        <v>16.365534521763745</v>
      </c>
      <c r="E41" s="2">
        <v>17.334005496615429</v>
      </c>
      <c r="F41" s="2">
        <v>17.683641109192763</v>
      </c>
      <c r="G41" s="2">
        <v>17.49118523882607</v>
      </c>
    </row>
    <row r="42" spans="1:7" x14ac:dyDescent="0.3">
      <c r="A42" s="25">
        <v>205</v>
      </c>
      <c r="B42" s="2">
        <v>16.006256667099063</v>
      </c>
      <c r="C42" s="2">
        <v>15.820932563600854</v>
      </c>
      <c r="D42" s="2">
        <v>17.134314795005047</v>
      </c>
      <c r="E42" s="2">
        <v>17.674291960569828</v>
      </c>
      <c r="F42" s="2">
        <v>17.563455442841956</v>
      </c>
      <c r="G42" s="2">
        <v>16.833640626368609</v>
      </c>
    </row>
    <row r="43" spans="1:7" x14ac:dyDescent="0.3">
      <c r="A43" s="25">
        <v>210</v>
      </c>
      <c r="B43" s="2">
        <v>15.435069278474876</v>
      </c>
      <c r="C43" s="2">
        <v>15.330237084360981</v>
      </c>
      <c r="D43" s="2">
        <v>16.558362523533855</v>
      </c>
      <c r="E43" s="2">
        <v>16.460171077450532</v>
      </c>
      <c r="F43" s="2">
        <v>15.270739946324575</v>
      </c>
      <c r="G43" s="2">
        <v>15.246185462757834</v>
      </c>
    </row>
    <row r="44" spans="1:7" x14ac:dyDescent="0.3">
      <c r="A44" s="25">
        <v>215</v>
      </c>
      <c r="B44" s="2">
        <v>16.437658079863262</v>
      </c>
      <c r="C44" s="2">
        <v>17.509185525655429</v>
      </c>
      <c r="D44" s="2">
        <v>17.892176521378094</v>
      </c>
      <c r="E44" s="2">
        <v>18.616346577010709</v>
      </c>
      <c r="F44" s="2">
        <v>17.754942172484917</v>
      </c>
      <c r="G44" s="2">
        <v>18.439084341391993</v>
      </c>
    </row>
    <row r="45" spans="1:7" x14ac:dyDescent="0.3">
      <c r="A45" s="25">
        <v>220</v>
      </c>
      <c r="B45" s="2">
        <v>14.092753198171366</v>
      </c>
      <c r="C45" s="2">
        <v>15.892322365332062</v>
      </c>
      <c r="D45" s="2">
        <v>16.988764470831899</v>
      </c>
      <c r="E45" s="2">
        <v>16.534600424305808</v>
      </c>
      <c r="F45" s="2">
        <v>17.015811303518966</v>
      </c>
      <c r="G45" s="2">
        <v>17.658945731385021</v>
      </c>
    </row>
    <row r="46" spans="1:7" x14ac:dyDescent="0.3">
      <c r="A46" s="25">
        <v>225</v>
      </c>
      <c r="B46" s="2">
        <v>16.495369919736557</v>
      </c>
      <c r="C46" s="2">
        <v>17.987710691206829</v>
      </c>
      <c r="D46" s="2">
        <v>17.229925303852131</v>
      </c>
      <c r="E46" s="2">
        <v>18.351615374826554</v>
      </c>
      <c r="F46" s="2">
        <v>18.001008723647463</v>
      </c>
      <c r="G46" s="2">
        <v>19.003208714947633</v>
      </c>
    </row>
    <row r="47" spans="1:7" x14ac:dyDescent="0.3">
      <c r="A47" s="25">
        <v>230</v>
      </c>
      <c r="B47" s="2">
        <v>14.399471278769649</v>
      </c>
      <c r="C47" s="2">
        <v>15.797211743806633</v>
      </c>
      <c r="D47" s="2">
        <v>18.955228952472144</v>
      </c>
      <c r="E47" s="2">
        <v>14.822760977321538</v>
      </c>
      <c r="F47" s="2">
        <v>16.0675052938116</v>
      </c>
      <c r="G47" s="2">
        <v>16.198447141096278</v>
      </c>
    </row>
    <row r="48" spans="1:7" x14ac:dyDescent="0.3">
      <c r="A48" s="25">
        <v>235</v>
      </c>
      <c r="B48" s="2">
        <v>17.349896819226583</v>
      </c>
      <c r="C48" s="2">
        <v>17.784785127227487</v>
      </c>
      <c r="D48" s="2">
        <v>18.679697937643233</v>
      </c>
      <c r="E48" s="2">
        <v>18.88583328063649</v>
      </c>
      <c r="F48" s="2">
        <v>17.750732032822427</v>
      </c>
      <c r="G48" s="2">
        <v>19.054418497385036</v>
      </c>
    </row>
    <row r="49" spans="1:7" x14ac:dyDescent="0.3">
      <c r="A49" s="25">
        <v>240</v>
      </c>
      <c r="B49" s="2">
        <v>16.081776056661337</v>
      </c>
      <c r="C49" s="2">
        <v>17.906894403787589</v>
      </c>
      <c r="D49" s="2">
        <v>17.617307720104474</v>
      </c>
      <c r="E49" s="2">
        <v>17.632944952267891</v>
      </c>
      <c r="F49" s="2">
        <v>18.278015704031731</v>
      </c>
      <c r="G49" s="2">
        <v>15.59470476158506</v>
      </c>
    </row>
    <row r="50" spans="1:7" x14ac:dyDescent="0.3">
      <c r="A50" s="25">
        <v>245</v>
      </c>
      <c r="B50" s="2">
        <v>17.765940566082907</v>
      </c>
      <c r="C50" s="2">
        <v>17.75781730839352</v>
      </c>
      <c r="D50" s="2">
        <v>16.680576691405086</v>
      </c>
      <c r="E50" s="2">
        <v>17.576143022343384</v>
      </c>
      <c r="F50" s="2">
        <v>17.889017657363656</v>
      </c>
      <c r="G50" s="2">
        <v>16.524686822630994</v>
      </c>
    </row>
    <row r="51" spans="1:7" x14ac:dyDescent="0.3">
      <c r="A51" s="25">
        <v>250</v>
      </c>
      <c r="B51" s="2">
        <v>18.005416403871124</v>
      </c>
      <c r="C51" s="2">
        <v>17.883984058750162</v>
      </c>
      <c r="D51" s="2">
        <v>18.396479901246803</v>
      </c>
      <c r="E51" s="2">
        <v>19.343534394782868</v>
      </c>
      <c r="F51" s="2">
        <v>18.342118204630534</v>
      </c>
      <c r="G51" s="2">
        <v>17.736401885507824</v>
      </c>
    </row>
    <row r="52" spans="1:7" x14ac:dyDescent="0.3">
      <c r="A52" s="25">
        <v>255</v>
      </c>
      <c r="B52" s="2">
        <v>16.090392050401068</v>
      </c>
      <c r="C52" s="2">
        <v>15.018636616519164</v>
      </c>
      <c r="D52" s="2">
        <v>15.911634785054495</v>
      </c>
      <c r="E52" s="2">
        <v>15.959086796916402</v>
      </c>
      <c r="F52" s="2">
        <v>16.875458985966123</v>
      </c>
      <c r="G52" s="2">
        <v>14.512350868250603</v>
      </c>
    </row>
    <row r="53" spans="1:7" x14ac:dyDescent="0.3">
      <c r="A53" s="25">
        <v>260</v>
      </c>
      <c r="B53" s="2">
        <v>16.082834898769935</v>
      </c>
      <c r="C53" s="2">
        <v>15.68669288675283</v>
      </c>
      <c r="D53" s="2">
        <v>16.053686952501899</v>
      </c>
      <c r="E53" s="2">
        <v>16.844114084155276</v>
      </c>
      <c r="F53" s="2">
        <v>16.460321171254332</v>
      </c>
      <c r="G53" s="2">
        <v>18.454950715704751</v>
      </c>
    </row>
    <row r="54" spans="1:7" x14ac:dyDescent="0.3">
      <c r="A54" s="25">
        <v>265</v>
      </c>
      <c r="B54" s="2">
        <v>16.116531057305256</v>
      </c>
      <c r="C54" s="2">
        <v>16.879869613427438</v>
      </c>
      <c r="D54" s="2">
        <v>18.458275570730489</v>
      </c>
      <c r="E54" s="2">
        <v>17.008926978799895</v>
      </c>
      <c r="F54" s="2">
        <v>18.366611169933023</v>
      </c>
      <c r="G54" s="2">
        <v>18.115848396725458</v>
      </c>
    </row>
    <row r="55" spans="1:7" x14ac:dyDescent="0.3">
      <c r="A55" s="25">
        <v>270</v>
      </c>
      <c r="B55" s="2">
        <v>16.186178626114916</v>
      </c>
      <c r="C55" s="2">
        <v>16.690002409441622</v>
      </c>
      <c r="D55" s="2">
        <v>16.789677858097207</v>
      </c>
      <c r="E55" s="2">
        <v>16.635408811207984</v>
      </c>
      <c r="F55" s="2">
        <v>16.687523223275665</v>
      </c>
      <c r="G55" s="2">
        <v>17.093595349711954</v>
      </c>
    </row>
    <row r="56" spans="1:7" x14ac:dyDescent="0.3">
      <c r="A56" s="25">
        <v>275</v>
      </c>
      <c r="B56" s="2">
        <v>15.03030474020513</v>
      </c>
      <c r="C56" s="2">
        <v>15.532088920075502</v>
      </c>
      <c r="D56" s="2">
        <v>13.594559262562525</v>
      </c>
      <c r="E56" s="2">
        <v>14.847341415667433</v>
      </c>
      <c r="F56" s="2">
        <v>16.733880390418388</v>
      </c>
      <c r="G56" s="2">
        <v>15.424543875261785</v>
      </c>
    </row>
    <row r="57" spans="1:7" x14ac:dyDescent="0.3">
      <c r="A57" s="25">
        <v>280</v>
      </c>
      <c r="B57" s="2">
        <v>13.608773371064114</v>
      </c>
      <c r="C57" s="2">
        <v>14.727423671435286</v>
      </c>
      <c r="D57" s="2">
        <v>14.480383547904109</v>
      </c>
      <c r="E57" s="2">
        <v>15.770721868660026</v>
      </c>
      <c r="F57" s="2">
        <v>15.567229805954611</v>
      </c>
      <c r="G57" s="2">
        <v>15.723815185710613</v>
      </c>
    </row>
    <row r="58" spans="1:7" x14ac:dyDescent="0.3">
      <c r="A58" s="25">
        <v>285</v>
      </c>
      <c r="B58" s="2">
        <v>16.363719326591241</v>
      </c>
      <c r="C58" s="2">
        <v>16.690611062662281</v>
      </c>
      <c r="D58" s="2">
        <v>16.891864207822138</v>
      </c>
      <c r="E58" s="2">
        <v>17.173245527065571</v>
      </c>
      <c r="F58" s="2">
        <v>15.391685731993499</v>
      </c>
      <c r="G58" s="2">
        <v>15.353609704141927</v>
      </c>
    </row>
    <row r="59" spans="1:7" x14ac:dyDescent="0.3">
      <c r="A59" s="25">
        <v>290</v>
      </c>
      <c r="B59" s="2">
        <v>14.85843011764509</v>
      </c>
      <c r="C59" s="2">
        <v>15.005748077221943</v>
      </c>
      <c r="D59" s="2">
        <v>14.733367094886701</v>
      </c>
      <c r="E59" s="2">
        <v>15.550709228696451</v>
      </c>
      <c r="F59" s="2">
        <v>15.585554810320327</v>
      </c>
      <c r="G59" s="2">
        <v>15.702919209645614</v>
      </c>
    </row>
    <row r="60" spans="1:7" x14ac:dyDescent="0.3">
      <c r="A60" s="25">
        <v>295</v>
      </c>
      <c r="B60" s="2">
        <v>15.076088539556521</v>
      </c>
      <c r="C60" s="2">
        <v>15.232393741432386</v>
      </c>
      <c r="D60" s="2">
        <v>15.067507157145673</v>
      </c>
      <c r="E60" s="2">
        <v>15.216799584149669</v>
      </c>
      <c r="F60" s="2">
        <v>14.915514031558006</v>
      </c>
      <c r="G60" s="2">
        <v>15.180302863518076</v>
      </c>
    </row>
    <row r="61" spans="1:7" x14ac:dyDescent="0.3">
      <c r="A61" s="25">
        <v>300</v>
      </c>
      <c r="B61" s="2">
        <v>15.903348954849543</v>
      </c>
      <c r="C61" s="2">
        <v>16.296837653214652</v>
      </c>
      <c r="D61" s="2">
        <v>16.864527559465873</v>
      </c>
      <c r="E61" s="2">
        <v>17.247048266785303</v>
      </c>
      <c r="F61" s="2">
        <v>17.894323556509811</v>
      </c>
      <c r="G61" s="2">
        <v>16.903373974815803</v>
      </c>
    </row>
    <row r="62" spans="1:7" x14ac:dyDescent="0.3">
      <c r="A62" s="25">
        <v>305</v>
      </c>
      <c r="B62" s="2">
        <v>14.404034458760249</v>
      </c>
      <c r="C62" s="2">
        <v>14.269672930747561</v>
      </c>
      <c r="D62" s="2">
        <v>15.278821545542042</v>
      </c>
      <c r="E62" s="2">
        <v>15.775750517241361</v>
      </c>
      <c r="F62" s="2">
        <v>14.030686537754761</v>
      </c>
      <c r="G62" s="2">
        <v>12.723864546448718</v>
      </c>
    </row>
    <row r="63" spans="1:7" x14ac:dyDescent="0.3">
      <c r="A63" s="25">
        <v>310</v>
      </c>
      <c r="B63" s="2">
        <v>15.384558890162715</v>
      </c>
      <c r="C63" s="2">
        <v>15.047552400219452</v>
      </c>
      <c r="D63" s="2">
        <v>16.583574632705812</v>
      </c>
      <c r="E63" s="2">
        <v>15.787789320622208</v>
      </c>
      <c r="F63" s="2">
        <v>15.899190981333325</v>
      </c>
      <c r="G63" s="2">
        <v>17.300775077563184</v>
      </c>
    </row>
    <row r="64" spans="1:7" x14ac:dyDescent="0.3">
      <c r="A64" s="25">
        <v>315</v>
      </c>
      <c r="B64" s="2">
        <v>16.674308150185695</v>
      </c>
      <c r="C64" s="2">
        <v>14.927437992523622</v>
      </c>
      <c r="D64" s="2">
        <v>17.008432040026921</v>
      </c>
      <c r="E64" s="2">
        <v>17.084954068261435</v>
      </c>
      <c r="F64" s="2">
        <v>17.154278939894873</v>
      </c>
      <c r="G64" s="2">
        <v>17.088483537281132</v>
      </c>
    </row>
    <row r="65" spans="1:7" x14ac:dyDescent="0.3">
      <c r="A65" s="25">
        <v>320</v>
      </c>
      <c r="B65" s="2">
        <v>16.256918119566425</v>
      </c>
      <c r="C65" s="2">
        <v>17.300406445857522</v>
      </c>
      <c r="D65" s="2">
        <v>17.302450281630168</v>
      </c>
      <c r="E65" s="2">
        <v>17.613084078563254</v>
      </c>
      <c r="F65" s="2">
        <v>17.319089071701036</v>
      </c>
      <c r="G65" s="2">
        <v>17.797582609044319</v>
      </c>
    </row>
    <row r="66" spans="1:7" x14ac:dyDescent="0.3">
      <c r="A66" s="25">
        <v>325</v>
      </c>
      <c r="B66" s="2">
        <v>5.2713638874072597</v>
      </c>
      <c r="C66" s="2">
        <v>16.243719713000825</v>
      </c>
      <c r="D66" s="2">
        <v>14.751169484881567</v>
      </c>
      <c r="E66" s="2">
        <v>14.871423449155026</v>
      </c>
      <c r="F66" s="2">
        <v>8.820180979658387</v>
      </c>
      <c r="G66" s="2">
        <v>9.6371722435014835</v>
      </c>
    </row>
    <row r="67" spans="1:7" x14ac:dyDescent="0.3">
      <c r="A67" s="25">
        <v>330</v>
      </c>
      <c r="B67" s="2">
        <v>13.787075290779731</v>
      </c>
      <c r="C67" s="2">
        <v>13.095612570949109</v>
      </c>
      <c r="D67" s="2">
        <v>11.785697055280695</v>
      </c>
      <c r="E67" s="2">
        <v>11.978378324821382</v>
      </c>
      <c r="F67" s="2">
        <v>13.472621579107447</v>
      </c>
      <c r="G67" s="2">
        <v>16.102475837444739</v>
      </c>
    </row>
    <row r="68" spans="1:7" x14ac:dyDescent="0.3">
      <c r="A68" s="25">
        <v>335</v>
      </c>
      <c r="B68" s="2">
        <v>13.94385416372835</v>
      </c>
      <c r="C68" s="2">
        <v>15.111012624158423</v>
      </c>
      <c r="D68" s="2">
        <v>7.7538428584834147</v>
      </c>
      <c r="E68" s="2">
        <v>14.751077244802543</v>
      </c>
      <c r="F68" s="2">
        <v>16.51435188082533</v>
      </c>
      <c r="G68" s="2">
        <v>14.322460455590013</v>
      </c>
    </row>
    <row r="69" spans="1:7" x14ac:dyDescent="0.3">
      <c r="A69" s="25">
        <v>340</v>
      </c>
      <c r="B69" s="2">
        <v>10.303013080098117</v>
      </c>
      <c r="C69" s="2">
        <v>12.832192915907767</v>
      </c>
      <c r="D69" s="2">
        <v>14.965922933282826</v>
      </c>
      <c r="E69" s="2">
        <v>9.5187923654583066</v>
      </c>
      <c r="F69" s="2">
        <v>8.3247702370482468</v>
      </c>
      <c r="G69" s="2">
        <v>10.09923900945031</v>
      </c>
    </row>
    <row r="70" spans="1:7" x14ac:dyDescent="0.3">
      <c r="A70" s="25">
        <v>345</v>
      </c>
      <c r="B70" s="2">
        <v>13.199586716919145</v>
      </c>
      <c r="C70" s="2">
        <v>15.843808159513589</v>
      </c>
      <c r="D70" s="2">
        <v>12.226518950327575</v>
      </c>
      <c r="E70" s="2">
        <v>15.782699330640847</v>
      </c>
      <c r="F70" s="2">
        <v>13.998550619714138</v>
      </c>
      <c r="G70" s="2">
        <v>12.379852494619842</v>
      </c>
    </row>
    <row r="71" spans="1:7" x14ac:dyDescent="0.3">
      <c r="A71" s="25">
        <v>350</v>
      </c>
      <c r="B71" s="2">
        <v>14.55180989428761</v>
      </c>
      <c r="C71" s="2">
        <v>14.614952262868545</v>
      </c>
      <c r="D71" s="2">
        <v>15.549845125879765</v>
      </c>
      <c r="E71" s="2">
        <v>14.775690940922937</v>
      </c>
      <c r="F71" s="2">
        <v>16.014593446449986</v>
      </c>
      <c r="G71" s="2">
        <v>15.838622527811969</v>
      </c>
    </row>
    <row r="72" spans="1:7" x14ac:dyDescent="0.3">
      <c r="A72" s="25">
        <v>355</v>
      </c>
      <c r="B72" s="2">
        <v>6.1866090691936879</v>
      </c>
      <c r="C72" s="2">
        <v>15.855971352508346</v>
      </c>
      <c r="D72" s="2">
        <v>15.366418563419067</v>
      </c>
      <c r="E72" s="2">
        <v>14.824167650049608</v>
      </c>
      <c r="F72" s="2">
        <v>16.067935882745882</v>
      </c>
      <c r="G72" s="2">
        <v>15.582081922132973</v>
      </c>
    </row>
    <row r="73" spans="1:7" x14ac:dyDescent="0.3">
      <c r="A73" s="25">
        <v>360</v>
      </c>
      <c r="B73" s="2">
        <v>15.933343513160894</v>
      </c>
      <c r="C73" s="2">
        <v>16.752001349747051</v>
      </c>
      <c r="D73" s="2">
        <v>16.485188755339721</v>
      </c>
      <c r="E73" s="2">
        <v>16.340777067897047</v>
      </c>
      <c r="F73" s="2">
        <v>14.586171622410301</v>
      </c>
      <c r="G73" s="2">
        <v>14.486053216918304</v>
      </c>
    </row>
    <row r="74" spans="1:7" x14ac:dyDescent="0.3">
      <c r="A74" s="25">
        <v>365</v>
      </c>
      <c r="B74" s="2">
        <v>16.154331240251988</v>
      </c>
      <c r="C74" s="2">
        <v>16.036423772399033</v>
      </c>
      <c r="D74" s="2">
        <v>15.878189299527918</v>
      </c>
      <c r="E74" s="2">
        <v>18.094159879231057</v>
      </c>
      <c r="F74" s="2">
        <v>17.35022933818049</v>
      </c>
      <c r="G74" s="2">
        <v>17.423262406542374</v>
      </c>
    </row>
    <row r="75" spans="1:7" x14ac:dyDescent="0.3">
      <c r="A75" s="25">
        <v>370</v>
      </c>
      <c r="B75" s="2">
        <v>16.286683271075901</v>
      </c>
      <c r="C75" s="2">
        <v>17.922995528289817</v>
      </c>
      <c r="D75" s="2">
        <v>17.255886101979627</v>
      </c>
      <c r="E75" s="2">
        <v>18.338286723802604</v>
      </c>
      <c r="F75" s="2">
        <v>17.753908448450016</v>
      </c>
      <c r="G75" s="2">
        <v>18.050938931521344</v>
      </c>
    </row>
    <row r="76" spans="1:7" x14ac:dyDescent="0.3">
      <c r="A76" s="25">
        <v>375</v>
      </c>
      <c r="B76" s="2">
        <v>14.814229316174904</v>
      </c>
      <c r="C76" s="2">
        <v>15.531430684773596</v>
      </c>
      <c r="D76" s="2">
        <v>16.300169108792044</v>
      </c>
      <c r="E76" s="2">
        <v>16.997114345304485</v>
      </c>
      <c r="F76" s="2">
        <v>16.721857012317372</v>
      </c>
      <c r="G76" s="2">
        <v>16.798235325357215</v>
      </c>
    </row>
    <row r="77" spans="1:7" x14ac:dyDescent="0.3">
      <c r="A77" s="25">
        <v>380</v>
      </c>
      <c r="B77" s="2">
        <v>15.314230712995682</v>
      </c>
      <c r="C77" s="2">
        <v>15.589994464197451</v>
      </c>
      <c r="D77" s="2">
        <v>17.347543041526571</v>
      </c>
      <c r="E77" s="2">
        <v>16.882259532685708</v>
      </c>
      <c r="F77" s="2">
        <v>16.945242403964809</v>
      </c>
      <c r="G77" s="2">
        <v>17.052601014461043</v>
      </c>
    </row>
    <row r="78" spans="1:7" x14ac:dyDescent="0.3">
      <c r="A78" s="25">
        <v>385</v>
      </c>
      <c r="B78" s="2">
        <v>16.909371102880375</v>
      </c>
      <c r="C78" s="2">
        <v>17.328847987172285</v>
      </c>
      <c r="D78" s="2">
        <v>17.993021746543327</v>
      </c>
      <c r="E78" s="2">
        <v>17.584030397757306</v>
      </c>
      <c r="F78" s="2">
        <v>18.240314830383554</v>
      </c>
      <c r="G78" s="2">
        <v>18.310082138442432</v>
      </c>
    </row>
    <row r="79" spans="1:7" x14ac:dyDescent="0.3">
      <c r="A79" s="25">
        <v>390</v>
      </c>
      <c r="B79" s="2">
        <v>15.544116508465802</v>
      </c>
      <c r="C79" s="2">
        <v>16.382500768918444</v>
      </c>
      <c r="D79" s="2">
        <v>16.573843694454876</v>
      </c>
      <c r="E79" s="2">
        <v>16.150891900305194</v>
      </c>
      <c r="F79" s="2">
        <v>17.682368636892459</v>
      </c>
      <c r="G79" s="2">
        <v>18.088525896612055</v>
      </c>
    </row>
    <row r="80" spans="1:7" x14ac:dyDescent="0.3">
      <c r="A80" s="25">
        <v>395</v>
      </c>
      <c r="B80" s="2">
        <v>14.404267203714422</v>
      </c>
      <c r="C80" s="2">
        <v>15.584638628318435</v>
      </c>
      <c r="D80" s="2">
        <v>13.96016135650974</v>
      </c>
      <c r="E80" s="2">
        <v>12.987405965056132</v>
      </c>
      <c r="F80" s="2">
        <v>13.744170478790966</v>
      </c>
      <c r="G80" s="2">
        <v>13.488188525975755</v>
      </c>
    </row>
    <row r="81" spans="1:7" x14ac:dyDescent="0.3">
      <c r="A81" s="25">
        <v>400</v>
      </c>
      <c r="B81" s="2">
        <v>15.671982865770481</v>
      </c>
      <c r="C81" s="2">
        <v>13.592036043236222</v>
      </c>
      <c r="D81" s="2">
        <v>16.109457192476416</v>
      </c>
      <c r="E81" s="2">
        <v>15.986411100687324</v>
      </c>
      <c r="F81" s="2">
        <v>17.050840994849363</v>
      </c>
      <c r="G81" s="2">
        <v>15.895232798789614</v>
      </c>
    </row>
    <row r="82" spans="1:7" x14ac:dyDescent="0.3">
      <c r="A82" s="25">
        <v>405</v>
      </c>
      <c r="B82" s="2">
        <v>10.811508604506933</v>
      </c>
      <c r="C82" s="2">
        <v>17.596158386794166</v>
      </c>
      <c r="D82" s="2">
        <v>17.977920897800512</v>
      </c>
      <c r="E82" s="2">
        <v>17.036645945185281</v>
      </c>
      <c r="F82" s="2">
        <v>17.972141909591141</v>
      </c>
      <c r="G82" s="2">
        <v>17.111650116657234</v>
      </c>
    </row>
    <row r="83" spans="1:7" x14ac:dyDescent="0.3">
      <c r="A83" s="25">
        <v>410</v>
      </c>
      <c r="B83" s="2">
        <v>15.072316637559533</v>
      </c>
      <c r="C83" s="2">
        <v>16.783403978254899</v>
      </c>
      <c r="D83" s="2">
        <v>16.800329106278877</v>
      </c>
      <c r="E83" s="2">
        <v>17.595095734934052</v>
      </c>
      <c r="F83" s="2">
        <v>17.710194389606531</v>
      </c>
      <c r="G83" s="2">
        <v>17.295543335417566</v>
      </c>
    </row>
    <row r="84" spans="1:7" x14ac:dyDescent="0.3">
      <c r="A84" s="25">
        <v>415</v>
      </c>
      <c r="B84" s="2">
        <v>14.667501204882621</v>
      </c>
      <c r="C84" s="2">
        <v>15.413944059038652</v>
      </c>
      <c r="D84" s="2">
        <v>15.554216068990822</v>
      </c>
      <c r="E84" s="2">
        <v>15.062239397669714</v>
      </c>
      <c r="F84" s="2">
        <v>17.263569418332079</v>
      </c>
      <c r="G84" s="2">
        <v>16.730491287758895</v>
      </c>
    </row>
    <row r="85" spans="1:7" x14ac:dyDescent="0.3">
      <c r="A85" s="25">
        <v>420</v>
      </c>
      <c r="B85" s="2">
        <v>15.362352048812706</v>
      </c>
      <c r="C85" s="2">
        <v>15.598029495936935</v>
      </c>
      <c r="D85" s="2">
        <v>17.1266389738486</v>
      </c>
      <c r="E85" s="2">
        <v>14.02367226039393</v>
      </c>
      <c r="F85" s="2">
        <v>15.866489771538898</v>
      </c>
      <c r="G85" s="2">
        <v>15.913870492476681</v>
      </c>
    </row>
    <row r="86" spans="1:7" x14ac:dyDescent="0.3">
      <c r="A86" s="25">
        <v>425</v>
      </c>
      <c r="B86" s="2">
        <v>12.854139622760563</v>
      </c>
      <c r="C86" s="2">
        <v>15.740433669474452</v>
      </c>
      <c r="D86" s="2">
        <v>15.315534934475066</v>
      </c>
      <c r="E86" s="2">
        <v>13.846975231645105</v>
      </c>
      <c r="F86" s="2">
        <v>15.53144058671735</v>
      </c>
      <c r="G86" s="2">
        <v>15.066621814271221</v>
      </c>
    </row>
    <row r="87" spans="1:7" x14ac:dyDescent="0.3">
      <c r="A87" s="25">
        <v>430</v>
      </c>
      <c r="B87" s="2">
        <v>14.254215234983938</v>
      </c>
      <c r="C87" s="2">
        <v>15.463913695844088</v>
      </c>
      <c r="D87" s="2">
        <v>16.076447561266992</v>
      </c>
      <c r="E87" s="2">
        <v>15.340761767036152</v>
      </c>
      <c r="F87" s="2">
        <v>15.600740341143755</v>
      </c>
      <c r="G87" s="2">
        <v>15.53976675390812</v>
      </c>
    </row>
    <row r="88" spans="1:7" x14ac:dyDescent="0.3">
      <c r="A88" s="25">
        <v>435</v>
      </c>
      <c r="B88" s="2">
        <v>16.095183226748695</v>
      </c>
      <c r="C88" s="2">
        <v>15.053693611221144</v>
      </c>
      <c r="D88" s="2">
        <v>15.295481529195024</v>
      </c>
      <c r="E88" s="2">
        <v>15.618902944363288</v>
      </c>
      <c r="F88" s="2">
        <v>16.082783952330075</v>
      </c>
      <c r="G88" s="2">
        <v>15.198756057567941</v>
      </c>
    </row>
    <row r="89" spans="1:7" x14ac:dyDescent="0.3">
      <c r="A89" s="25">
        <v>440</v>
      </c>
      <c r="B89" s="2">
        <v>15.295236991425842</v>
      </c>
      <c r="C89" s="2">
        <v>13.421701600644324</v>
      </c>
      <c r="D89" s="2">
        <v>13.683760726258555</v>
      </c>
      <c r="E89" s="2">
        <v>13.334492244228532</v>
      </c>
      <c r="F89" s="2">
        <v>11.623973079255508</v>
      </c>
      <c r="G89" s="2">
        <v>12.617296328618631</v>
      </c>
    </row>
    <row r="90" spans="1:7" x14ac:dyDescent="0.3">
      <c r="A90" s="25">
        <v>445</v>
      </c>
      <c r="B90" s="2">
        <v>15.221238175561689</v>
      </c>
      <c r="C90" s="2">
        <v>16.965756563322593</v>
      </c>
      <c r="D90" s="2">
        <v>7.7819745265504734</v>
      </c>
      <c r="E90" s="2">
        <v>16.029566018160267</v>
      </c>
      <c r="F90" s="2">
        <v>17.072938841044742</v>
      </c>
      <c r="G90" s="2">
        <v>17.657052016816888</v>
      </c>
    </row>
    <row r="91" spans="1:7" x14ac:dyDescent="0.3">
      <c r="A91" s="25">
        <v>450</v>
      </c>
      <c r="B91" s="2">
        <v>12.5859968699693</v>
      </c>
      <c r="C91" s="2">
        <v>16.260274498973182</v>
      </c>
      <c r="D91" s="2">
        <v>15.786550645153529</v>
      </c>
      <c r="E91" s="2">
        <v>18.669814296331698</v>
      </c>
      <c r="F91" s="2">
        <v>17.389389403667899</v>
      </c>
      <c r="G91" s="2">
        <v>15.338458476430961</v>
      </c>
    </row>
    <row r="92" spans="1:7" x14ac:dyDescent="0.3">
      <c r="A92" s="25">
        <v>455</v>
      </c>
      <c r="B92" s="2">
        <v>10.237551391398997</v>
      </c>
      <c r="C92" s="2">
        <v>15.371627194571076</v>
      </c>
      <c r="D92" s="2">
        <v>15.838472670919673</v>
      </c>
      <c r="E92" s="2">
        <v>12.981936481556058</v>
      </c>
      <c r="F92" s="2">
        <v>9.0157787556524855</v>
      </c>
      <c r="G92" s="2">
        <v>6.9424935909210044</v>
      </c>
    </row>
    <row r="93" spans="1:7" x14ac:dyDescent="0.3">
      <c r="A93" s="25">
        <v>460</v>
      </c>
      <c r="B93" s="2">
        <v>15.747944493411998</v>
      </c>
      <c r="C93" s="2">
        <v>15.947430965433751</v>
      </c>
      <c r="D93" s="2">
        <v>13.557866116395004</v>
      </c>
      <c r="E93" s="2">
        <v>16.039756069281491</v>
      </c>
      <c r="F93" s="2">
        <v>17.451870071015303</v>
      </c>
      <c r="G93" s="2">
        <v>17.081151623807465</v>
      </c>
    </row>
    <row r="94" spans="1:7" x14ac:dyDescent="0.3">
      <c r="A94" s="25">
        <v>465</v>
      </c>
      <c r="B94" s="2">
        <v>14.645492677669175</v>
      </c>
      <c r="C94" s="2">
        <v>14.963541879657285</v>
      </c>
      <c r="D94" s="2">
        <v>14.915818738626337</v>
      </c>
      <c r="E94" s="2">
        <v>13.732731812869007</v>
      </c>
      <c r="F94" s="2">
        <v>14.577650670065525</v>
      </c>
      <c r="G94" s="2">
        <v>15.086902208448814</v>
      </c>
    </row>
    <row r="95" spans="1:7" x14ac:dyDescent="0.3">
      <c r="A95" s="25">
        <v>470</v>
      </c>
      <c r="B95" s="2">
        <v>14.653177691971241</v>
      </c>
      <c r="C95" s="2">
        <v>8.287512314472739</v>
      </c>
      <c r="D95" s="2">
        <v>16.113046782976358</v>
      </c>
      <c r="E95" s="2">
        <v>14.600941606306417</v>
      </c>
      <c r="F95" s="2">
        <v>12.594069425850396</v>
      </c>
      <c r="G95" s="2">
        <v>14.209095142269925</v>
      </c>
    </row>
    <row r="96" spans="1:7" x14ac:dyDescent="0.3">
      <c r="A96" s="25">
        <v>475</v>
      </c>
      <c r="B96" s="2">
        <v>15.355044716516696</v>
      </c>
      <c r="C96" s="2">
        <v>16.065590511853454</v>
      </c>
      <c r="D96" s="2">
        <v>16.742676538955891</v>
      </c>
      <c r="E96" s="2">
        <v>16.611324359057484</v>
      </c>
      <c r="F96" s="2">
        <v>16.849421190433084</v>
      </c>
      <c r="G96" s="2">
        <v>16.664586731482046</v>
      </c>
    </row>
    <row r="97" spans="1:7" x14ac:dyDescent="0.3">
      <c r="A97" s="25">
        <v>480</v>
      </c>
      <c r="B97" s="2">
        <v>16.292369765106198</v>
      </c>
      <c r="C97" s="2">
        <v>15.508574931401922</v>
      </c>
      <c r="D97" s="2">
        <v>17.02320535093132</v>
      </c>
      <c r="E97" s="2">
        <v>16.563832062233725</v>
      </c>
      <c r="F97" s="2">
        <v>17.442703530922579</v>
      </c>
      <c r="G97" s="2">
        <v>15.799275894222653</v>
      </c>
    </row>
    <row r="98" spans="1:7" x14ac:dyDescent="0.3">
      <c r="A98" s="25">
        <v>485</v>
      </c>
      <c r="B98" s="2">
        <v>15.237033467012248</v>
      </c>
      <c r="C98" s="2">
        <v>15.361215532247988</v>
      </c>
      <c r="D98" s="2">
        <v>17.622670577978102</v>
      </c>
      <c r="E98" s="2">
        <v>5.9189016464197506</v>
      </c>
      <c r="F98" s="2">
        <v>8.819999298960159</v>
      </c>
      <c r="G98" s="2">
        <v>6.0857980234994837</v>
      </c>
    </row>
    <row r="99" spans="1:7" x14ac:dyDescent="0.3">
      <c r="A99" s="25">
        <v>490</v>
      </c>
      <c r="B99" s="2">
        <v>15.54558195508266</v>
      </c>
      <c r="C99" s="2">
        <v>14.809852917040052</v>
      </c>
      <c r="D99" s="2">
        <v>16.570708242498473</v>
      </c>
      <c r="E99" s="2">
        <v>16.913834361461578</v>
      </c>
      <c r="F99" s="2">
        <v>17.051929427717468</v>
      </c>
      <c r="G99" s="2">
        <v>17.161621270960577</v>
      </c>
    </row>
    <row r="100" spans="1:7" x14ac:dyDescent="0.3">
      <c r="A100" s="25">
        <v>495</v>
      </c>
      <c r="B100" s="2">
        <v>15.369624049702146</v>
      </c>
      <c r="C100" s="2">
        <v>15.196851892406967</v>
      </c>
      <c r="D100" s="2">
        <v>14.214158540188651</v>
      </c>
      <c r="E100" s="2">
        <v>15.01468264742552</v>
      </c>
      <c r="F100" s="2">
        <v>15.336300002307237</v>
      </c>
      <c r="G100" s="2">
        <v>16.312359613718414</v>
      </c>
    </row>
    <row r="101" spans="1:7" x14ac:dyDescent="0.3">
      <c r="A101" s="25">
        <v>500</v>
      </c>
      <c r="B101" s="2">
        <v>16.041757666062075</v>
      </c>
      <c r="C101" s="2">
        <v>15.972584515179204</v>
      </c>
      <c r="D101" s="2">
        <v>16.984282156993196</v>
      </c>
      <c r="E101" s="2">
        <v>16.195936279135388</v>
      </c>
      <c r="F101" s="2">
        <v>16.154087841830755</v>
      </c>
      <c r="G101" s="2">
        <v>16.5824480094869</v>
      </c>
    </row>
    <row r="102" spans="1:7" x14ac:dyDescent="0.3">
      <c r="A102" s="25">
        <v>510</v>
      </c>
      <c r="B102" s="2">
        <v>15.060416639880579</v>
      </c>
      <c r="C102" s="2">
        <v>15.45833765541756</v>
      </c>
      <c r="D102" s="2">
        <v>13.762588943882854</v>
      </c>
      <c r="E102" s="2">
        <v>15.862525146748082</v>
      </c>
      <c r="F102" s="2">
        <v>15.327436219237395</v>
      </c>
      <c r="G102" s="2">
        <v>16.395851015897975</v>
      </c>
    </row>
    <row r="103" spans="1:7" x14ac:dyDescent="0.3">
      <c r="A103" s="25">
        <v>520</v>
      </c>
      <c r="B103" s="2">
        <v>15.375690872648537</v>
      </c>
      <c r="C103" s="2">
        <v>15.908060849637586</v>
      </c>
      <c r="D103" s="2">
        <v>15.001046083600615</v>
      </c>
      <c r="E103" s="2">
        <v>16.18959015294627</v>
      </c>
      <c r="F103" s="2">
        <v>15.914878942829077</v>
      </c>
      <c r="G103" s="2">
        <v>14.86915027584989</v>
      </c>
    </row>
    <row r="104" spans="1:7" x14ac:dyDescent="0.3">
      <c r="A104" s="25">
        <v>530</v>
      </c>
      <c r="B104" s="2">
        <v>15.111316147552808</v>
      </c>
      <c r="C104" s="2">
        <v>15.913779292235004</v>
      </c>
      <c r="D104" s="2">
        <v>16.573562164100931</v>
      </c>
      <c r="E104" s="2">
        <v>16.488199673421516</v>
      </c>
      <c r="F104" s="2">
        <v>17.189791568254346</v>
      </c>
      <c r="G104" s="2">
        <v>17.464908819499058</v>
      </c>
    </row>
    <row r="105" spans="1:7" x14ac:dyDescent="0.3">
      <c r="A105" s="25">
        <v>540</v>
      </c>
      <c r="B105" s="2">
        <v>9.6560066957854378</v>
      </c>
      <c r="C105" s="2">
        <v>14.978140086461678</v>
      </c>
      <c r="D105" s="2">
        <v>15.640164108618514</v>
      </c>
      <c r="E105" s="2">
        <v>14.574985538886251</v>
      </c>
      <c r="F105" s="2">
        <v>14.354439699292913</v>
      </c>
      <c r="G105" s="2">
        <v>15.880004908319629</v>
      </c>
    </row>
    <row r="106" spans="1:7" x14ac:dyDescent="0.3">
      <c r="A106" s="25">
        <v>550</v>
      </c>
      <c r="B106" s="2">
        <v>14.285723830996504</v>
      </c>
      <c r="C106" s="2">
        <v>14.964656935123834</v>
      </c>
      <c r="D106" s="2">
        <v>14.050749001466523</v>
      </c>
      <c r="E106" s="2">
        <v>11.914617340884657</v>
      </c>
      <c r="F106" s="2">
        <v>11.695636503733841</v>
      </c>
      <c r="G106" s="2">
        <v>11.414648246135297</v>
      </c>
    </row>
    <row r="107" spans="1:7" x14ac:dyDescent="0.3">
      <c r="A107" s="25">
        <v>560</v>
      </c>
      <c r="B107" s="2">
        <v>11.299409519850466</v>
      </c>
      <c r="C107" s="2">
        <v>13.442556143638054</v>
      </c>
      <c r="D107" s="2">
        <v>15.397014166729862</v>
      </c>
      <c r="E107" s="2">
        <v>8.8306357715748707</v>
      </c>
      <c r="F107" s="2">
        <v>9.1204021459634266</v>
      </c>
      <c r="G107" s="2">
        <v>14.983195272315472</v>
      </c>
    </row>
    <row r="108" spans="1:7" x14ac:dyDescent="0.3">
      <c r="A108" s="25">
        <v>570</v>
      </c>
      <c r="B108" s="2">
        <v>12.565253112248724</v>
      </c>
      <c r="C108" s="2">
        <v>13.462683925830181</v>
      </c>
      <c r="D108" s="2">
        <v>14.99390335478259</v>
      </c>
      <c r="E108" s="2">
        <v>13.022574471125331</v>
      </c>
      <c r="F108" s="2">
        <v>12.291899227868905</v>
      </c>
      <c r="G108" s="2">
        <v>13.251005978891852</v>
      </c>
    </row>
    <row r="109" spans="1:7" x14ac:dyDescent="0.3">
      <c r="A109" s="25">
        <v>580</v>
      </c>
      <c r="B109" s="2">
        <v>14.47265442514146</v>
      </c>
      <c r="C109" s="2">
        <v>11.493093656143165</v>
      </c>
      <c r="D109" s="2">
        <v>15.110001773282193</v>
      </c>
      <c r="E109" s="2">
        <v>13.283831975035126</v>
      </c>
      <c r="F109" s="2">
        <v>14.740101795717985</v>
      </c>
      <c r="G109" s="2">
        <v>12.252280146170758</v>
      </c>
    </row>
    <row r="110" spans="1:7" x14ac:dyDescent="0.3">
      <c r="A110" s="25">
        <v>590</v>
      </c>
      <c r="B110" s="2">
        <v>14.532260176222604</v>
      </c>
      <c r="C110" s="2">
        <v>9.1217716443212602</v>
      </c>
      <c r="D110" s="2">
        <v>10.934313284263292</v>
      </c>
      <c r="E110" s="2">
        <v>10.228091826515106</v>
      </c>
      <c r="F110" s="2">
        <v>11.846642460206203</v>
      </c>
      <c r="G110" s="2">
        <v>11.835478472432047</v>
      </c>
    </row>
    <row r="111" spans="1:7" x14ac:dyDescent="0.3">
      <c r="A111" s="25">
        <v>600</v>
      </c>
      <c r="B111" s="2">
        <v>14.215319193979346</v>
      </c>
      <c r="C111" s="2">
        <v>15.525006840718799</v>
      </c>
      <c r="D111" s="2">
        <v>12.788287880404209</v>
      </c>
      <c r="E111" s="2">
        <v>14.838054572036972</v>
      </c>
      <c r="F111" s="2">
        <v>14.797988241151543</v>
      </c>
      <c r="G111" s="2">
        <v>14.513898196073079</v>
      </c>
    </row>
    <row r="112" spans="1:7" x14ac:dyDescent="0.3">
      <c r="A112" s="25">
        <v>610</v>
      </c>
      <c r="B112" s="2">
        <v>11.72010103185467</v>
      </c>
      <c r="C112" s="2">
        <v>14.083567158583078</v>
      </c>
      <c r="D112" s="2">
        <v>13.706622596144367</v>
      </c>
      <c r="E112" s="2">
        <v>14.299345128034274</v>
      </c>
      <c r="F112" s="2">
        <v>13.428165089706535</v>
      </c>
      <c r="G112" s="2">
        <v>14.041737538705934</v>
      </c>
    </row>
    <row r="113" spans="1:7" x14ac:dyDescent="0.3">
      <c r="A113" s="25">
        <v>620</v>
      </c>
      <c r="B113" s="2">
        <v>11.148839375205631</v>
      </c>
      <c r="C113" s="2">
        <v>11.104329041398175</v>
      </c>
      <c r="D113" s="2">
        <v>12.077997653882989</v>
      </c>
      <c r="E113" s="2">
        <v>12.352252064572097</v>
      </c>
      <c r="F113" s="2">
        <v>13.778905273086693</v>
      </c>
      <c r="G113" s="2">
        <v>13.760617948290218</v>
      </c>
    </row>
    <row r="114" spans="1:7" x14ac:dyDescent="0.3">
      <c r="A114" s="25">
        <v>630</v>
      </c>
      <c r="B114" s="2">
        <v>15.256295770476155</v>
      </c>
      <c r="C114" s="2">
        <v>15.545623428455928</v>
      </c>
      <c r="D114" s="2">
        <v>16.051654651458829</v>
      </c>
      <c r="E114" s="2">
        <v>16.057082631349555</v>
      </c>
      <c r="F114" s="2">
        <v>15.747312942238555</v>
      </c>
      <c r="G114" s="2">
        <v>16.13073914317669</v>
      </c>
    </row>
    <row r="115" spans="1:7" x14ac:dyDescent="0.3">
      <c r="A115" s="25">
        <v>640</v>
      </c>
      <c r="B115" s="2">
        <v>15.014793713050421</v>
      </c>
      <c r="C115" s="2">
        <v>14.876342750185469</v>
      </c>
      <c r="D115" s="2">
        <v>14.80687419643618</v>
      </c>
      <c r="E115" s="2">
        <v>15.758916130567668</v>
      </c>
      <c r="F115" s="2">
        <v>15.607101875776706</v>
      </c>
      <c r="G115" s="2">
        <v>15.16230236167954</v>
      </c>
    </row>
    <row r="116" spans="1:7" x14ac:dyDescent="0.3">
      <c r="A116" s="25">
        <v>650</v>
      </c>
      <c r="B116" s="2">
        <v>13.709599369174224</v>
      </c>
      <c r="C116" s="2">
        <v>11.083314927321887</v>
      </c>
      <c r="D116" s="2">
        <v>13.144878058747858</v>
      </c>
      <c r="E116" s="2">
        <v>13.514103571898371</v>
      </c>
      <c r="F116" s="2">
        <v>14.480787333496952</v>
      </c>
      <c r="G116" s="2">
        <v>13.114565405163093</v>
      </c>
    </row>
    <row r="117" spans="1:7" x14ac:dyDescent="0.3">
      <c r="A117" s="25">
        <v>660</v>
      </c>
      <c r="B117" s="2">
        <v>12.54485377684896</v>
      </c>
      <c r="C117" s="2">
        <v>13.594413406673148</v>
      </c>
      <c r="D117" s="2">
        <v>12.106581647739503</v>
      </c>
      <c r="E117" s="2">
        <v>8.6981286145192307</v>
      </c>
      <c r="F117" s="2">
        <v>8.6451052502756234</v>
      </c>
      <c r="G117" s="2">
        <v>10.460548715212049</v>
      </c>
    </row>
    <row r="118" spans="1:7" x14ac:dyDescent="0.3">
      <c r="A118" s="25">
        <v>670</v>
      </c>
      <c r="B118" s="2">
        <v>12.769373422855402</v>
      </c>
      <c r="C118" s="2">
        <v>11.983333392317144</v>
      </c>
      <c r="D118" s="2">
        <v>7.9844056316764513</v>
      </c>
      <c r="E118" s="2">
        <v>10.570529265782451</v>
      </c>
      <c r="F118" s="2">
        <v>10.470268402415456</v>
      </c>
      <c r="G118" s="2">
        <v>10.204858177753197</v>
      </c>
    </row>
    <row r="119" spans="1:7" x14ac:dyDescent="0.3">
      <c r="A119" s="25">
        <v>680</v>
      </c>
      <c r="B119" s="2">
        <v>11.980708934167996</v>
      </c>
      <c r="C119" s="2">
        <v>7.1017865265260145</v>
      </c>
      <c r="D119" s="2">
        <v>10.097215470831875</v>
      </c>
      <c r="E119" s="2">
        <v>10.431671858913772</v>
      </c>
      <c r="F119" s="2">
        <v>8.4765693145660261</v>
      </c>
      <c r="G119" s="2">
        <v>7.5154597056719945</v>
      </c>
    </row>
    <row r="120" spans="1:7" x14ac:dyDescent="0.3">
      <c r="A120" s="25">
        <v>690</v>
      </c>
      <c r="B120" s="2">
        <v>13.14226865420132</v>
      </c>
      <c r="C120" s="2">
        <v>15.082006733442022</v>
      </c>
      <c r="D120" s="2">
        <v>15.568546725477201</v>
      </c>
      <c r="E120" s="2">
        <v>11.988524807729796</v>
      </c>
      <c r="F120" s="2">
        <v>12.486233377605744</v>
      </c>
      <c r="G120" s="2">
        <v>15.759595490975466</v>
      </c>
    </row>
    <row r="121" spans="1:7" x14ac:dyDescent="0.3">
      <c r="A121" s="25">
        <v>700</v>
      </c>
      <c r="B121" s="2">
        <v>12.726854036079782</v>
      </c>
      <c r="C121" s="2">
        <v>13.135652539853018</v>
      </c>
      <c r="D121" s="2">
        <v>14.106437046634472</v>
      </c>
      <c r="E121" s="2">
        <v>13.247857872273684</v>
      </c>
      <c r="F121" s="2">
        <v>13.423398603128584</v>
      </c>
      <c r="G121" s="2">
        <v>13.277219520055255</v>
      </c>
    </row>
    <row r="122" spans="1:7" x14ac:dyDescent="0.3">
      <c r="A122" s="25">
        <v>710</v>
      </c>
      <c r="B122" s="2">
        <v>8.350615918767037</v>
      </c>
      <c r="C122" s="2">
        <v>12.661006893348722</v>
      </c>
      <c r="D122" s="2">
        <v>12.674958593084472</v>
      </c>
      <c r="E122" s="2">
        <v>9.8503492077014556</v>
      </c>
      <c r="F122" s="2">
        <v>11.077183591399399</v>
      </c>
      <c r="G122" s="2">
        <v>12.258313595485189</v>
      </c>
    </row>
    <row r="123" spans="1:7" x14ac:dyDescent="0.3">
      <c r="A123" s="25">
        <v>720</v>
      </c>
      <c r="B123" s="2">
        <v>11.485704321051848</v>
      </c>
      <c r="C123" s="2">
        <v>10.78531633854365</v>
      </c>
      <c r="D123" s="2">
        <v>12.290318606346917</v>
      </c>
      <c r="E123" s="2">
        <v>9.3822266848620153</v>
      </c>
      <c r="F123" s="2">
        <v>9.3826582360565496</v>
      </c>
      <c r="G123" s="2">
        <v>9.3303950883427813</v>
      </c>
    </row>
    <row r="124" spans="1:7" x14ac:dyDescent="0.3">
      <c r="A124" s="25">
        <v>730</v>
      </c>
      <c r="B124" s="2">
        <v>12.526059752383675</v>
      </c>
      <c r="C124" s="2">
        <v>13.627343443703248</v>
      </c>
      <c r="D124" s="2">
        <v>14.100932177748273</v>
      </c>
      <c r="E124" s="2">
        <v>14.208089263645448</v>
      </c>
      <c r="F124" s="2">
        <v>15.108005667785736</v>
      </c>
      <c r="G124" s="2">
        <v>14.283645537090935</v>
      </c>
    </row>
    <row r="125" spans="1:7" x14ac:dyDescent="0.3">
      <c r="A125" s="25">
        <v>740</v>
      </c>
      <c r="B125" s="2">
        <v>12.165185823743698</v>
      </c>
      <c r="C125" s="2">
        <v>9.4611193291788087</v>
      </c>
      <c r="D125" s="2">
        <v>12.413662739228595</v>
      </c>
      <c r="E125" s="2">
        <v>11.994437710151653</v>
      </c>
      <c r="F125" s="2">
        <v>11.887246002092853</v>
      </c>
      <c r="G125" s="2">
        <v>13.630918313564578</v>
      </c>
    </row>
    <row r="126" spans="1:7" x14ac:dyDescent="0.3">
      <c r="A126" s="25">
        <v>750</v>
      </c>
      <c r="B126" s="2">
        <v>11.04223869892005</v>
      </c>
      <c r="C126" s="2">
        <v>11.604463924552642</v>
      </c>
      <c r="D126" s="2">
        <v>12.946669822549055</v>
      </c>
      <c r="E126" s="2">
        <v>11.533136707827554</v>
      </c>
      <c r="F126" s="2">
        <v>12.125051440215707</v>
      </c>
      <c r="G126" s="2">
        <v>11.503500239095677</v>
      </c>
    </row>
    <row r="127" spans="1:7" x14ac:dyDescent="0.3">
      <c r="A127" s="25">
        <v>760</v>
      </c>
      <c r="B127" s="2">
        <v>14.718761698125769</v>
      </c>
      <c r="C127" s="2">
        <v>9.9373203247026254</v>
      </c>
      <c r="D127" s="2">
        <v>11.151344923538893</v>
      </c>
      <c r="E127" s="2">
        <v>16.297919214801809</v>
      </c>
      <c r="F127" s="2">
        <v>16.542517040822755</v>
      </c>
      <c r="G127" s="2">
        <v>10.711508317458911</v>
      </c>
    </row>
    <row r="128" spans="1:7" x14ac:dyDescent="0.3">
      <c r="A128" s="25">
        <v>770</v>
      </c>
      <c r="B128" s="2">
        <v>15.149340910703664</v>
      </c>
      <c r="C128" s="2">
        <v>16.535212800397556</v>
      </c>
      <c r="D128" s="2">
        <v>17.478258817370701</v>
      </c>
      <c r="E128" s="2">
        <v>15.190534369665956</v>
      </c>
      <c r="F128" s="2">
        <v>16.039807035571691</v>
      </c>
      <c r="G128" s="2">
        <v>15.328988483208621</v>
      </c>
    </row>
    <row r="129" spans="1:7" x14ac:dyDescent="0.3">
      <c r="A129" s="25">
        <v>780</v>
      </c>
      <c r="B129" s="2">
        <v>14.782959908384697</v>
      </c>
      <c r="C129" s="2">
        <v>12.019860392192026</v>
      </c>
      <c r="D129" s="2">
        <v>14.669635875771025</v>
      </c>
      <c r="E129" s="2">
        <v>14.816273802295287</v>
      </c>
      <c r="F129" s="2">
        <v>16.256006885397166</v>
      </c>
      <c r="G129" s="2">
        <v>16.214564760525445</v>
      </c>
    </row>
    <row r="130" spans="1:7" x14ac:dyDescent="0.3">
      <c r="A130" s="25">
        <v>790</v>
      </c>
      <c r="B130" s="2">
        <v>13.663688168302741</v>
      </c>
      <c r="C130" s="2">
        <v>13.818244358293864</v>
      </c>
      <c r="D130" s="2">
        <v>13.601140911853285</v>
      </c>
      <c r="E130" s="2">
        <v>15.20855173755317</v>
      </c>
      <c r="F130" s="2">
        <v>7.2409693062341809</v>
      </c>
      <c r="G130" s="2">
        <v>5.448883653583156</v>
      </c>
    </row>
    <row r="131" spans="1:7" x14ac:dyDescent="0.3">
      <c r="A131" s="25">
        <v>800</v>
      </c>
      <c r="B131" s="2">
        <v>11.78090818267942</v>
      </c>
      <c r="C131" s="2">
        <v>14.184454722404588</v>
      </c>
      <c r="D131" s="2">
        <v>15.348842985252254</v>
      </c>
      <c r="E131" s="2">
        <v>14.637879344223377</v>
      </c>
      <c r="F131" s="2">
        <v>15.88511472173313</v>
      </c>
      <c r="G131" s="2">
        <v>14.80874674555929</v>
      </c>
    </row>
    <row r="132" spans="1:7" x14ac:dyDescent="0.3">
      <c r="A132" s="25">
        <v>810</v>
      </c>
      <c r="B132" s="2">
        <v>12.828942289199158</v>
      </c>
      <c r="C132" s="2">
        <v>11.174557905844832</v>
      </c>
      <c r="D132" s="2">
        <v>12.681395861103038</v>
      </c>
      <c r="E132" s="2">
        <v>12.332657516279339</v>
      </c>
      <c r="F132" s="2">
        <v>12.488297346720062</v>
      </c>
      <c r="G132" s="2">
        <v>14.375327741777443</v>
      </c>
    </row>
    <row r="133" spans="1:7" x14ac:dyDescent="0.3">
      <c r="A133" s="25">
        <v>820</v>
      </c>
      <c r="B133" s="2">
        <v>14.574602075039319</v>
      </c>
      <c r="C133" s="2">
        <v>16.322617308142441</v>
      </c>
      <c r="D133" s="2">
        <v>12.033734932930964</v>
      </c>
      <c r="E133" s="2">
        <v>14.509713867622601</v>
      </c>
      <c r="F133" s="2">
        <v>15.996130297773758</v>
      </c>
      <c r="G133" s="2">
        <v>15.622012724915066</v>
      </c>
    </row>
    <row r="134" spans="1:7" x14ac:dyDescent="0.3">
      <c r="A134" s="25">
        <v>830</v>
      </c>
      <c r="B134" s="2">
        <v>13.158943601877768</v>
      </c>
      <c r="C134" s="2">
        <v>14.695175152138196</v>
      </c>
      <c r="D134" s="2">
        <v>13.233917120723392</v>
      </c>
      <c r="E134" s="2">
        <v>12.107779530640697</v>
      </c>
      <c r="F134" s="2">
        <v>10.742613697897538</v>
      </c>
      <c r="G134" s="2">
        <v>11.21601658739373</v>
      </c>
    </row>
    <row r="135" spans="1:7" x14ac:dyDescent="0.3">
      <c r="A135" s="25">
        <v>840</v>
      </c>
      <c r="B135" s="2">
        <v>15.132862783311559</v>
      </c>
      <c r="C135" s="2">
        <v>15.76514809988949</v>
      </c>
      <c r="D135" s="2">
        <v>15.097822232209079</v>
      </c>
      <c r="E135" s="2">
        <v>13.550635488157024</v>
      </c>
      <c r="F135" s="2">
        <v>12.322331038151887</v>
      </c>
      <c r="G135" s="2">
        <v>13.547148561056229</v>
      </c>
    </row>
    <row r="136" spans="1:7" x14ac:dyDescent="0.3">
      <c r="A136" s="25">
        <v>850</v>
      </c>
      <c r="B136" s="2">
        <v>9.757413762479846</v>
      </c>
      <c r="C136" s="2">
        <v>16.531253052585424</v>
      </c>
      <c r="D136" s="2">
        <v>13.020463910841816</v>
      </c>
      <c r="E136" s="2">
        <v>13.347308178352044</v>
      </c>
      <c r="F136" s="2">
        <v>14.507350764353415</v>
      </c>
      <c r="G136" s="2">
        <v>17.349197857085468</v>
      </c>
    </row>
    <row r="137" spans="1:7" x14ac:dyDescent="0.3">
      <c r="A137" s="25">
        <v>860</v>
      </c>
      <c r="B137" s="2">
        <v>12.191733000507023</v>
      </c>
      <c r="C137" s="2">
        <v>16.750719628125488</v>
      </c>
      <c r="D137" s="2">
        <v>15.3983307933366</v>
      </c>
      <c r="E137" s="2">
        <v>8.4187683320221574</v>
      </c>
      <c r="F137" s="2">
        <v>13.748484198691317</v>
      </c>
      <c r="G137" s="2">
        <v>7.4797707155018305</v>
      </c>
    </row>
    <row r="138" spans="1:7" x14ac:dyDescent="0.3">
      <c r="A138" s="25">
        <v>870</v>
      </c>
      <c r="B138" s="2">
        <v>14.116690413391378</v>
      </c>
      <c r="C138" s="2">
        <v>12.438389201479081</v>
      </c>
      <c r="D138" s="2">
        <v>10.842407917283127</v>
      </c>
      <c r="E138" s="2">
        <v>9.1148883446319644</v>
      </c>
      <c r="F138" s="2">
        <v>7.2184587548614774</v>
      </c>
      <c r="G138" s="2">
        <v>11.664029335370058</v>
      </c>
    </row>
    <row r="139" spans="1:7" x14ac:dyDescent="0.3">
      <c r="A139" s="25">
        <v>880</v>
      </c>
      <c r="B139" s="2">
        <v>10.785333316679298</v>
      </c>
      <c r="C139" s="2">
        <v>10.035967945676264</v>
      </c>
      <c r="D139" s="2">
        <v>7.6592294635570592</v>
      </c>
      <c r="E139" s="2">
        <v>7.8247044819805955</v>
      </c>
      <c r="F139" s="2">
        <v>12.882948106592142</v>
      </c>
      <c r="G139" s="2">
        <v>12.554950603049969</v>
      </c>
    </row>
    <row r="140" spans="1:7" x14ac:dyDescent="0.3">
      <c r="A140" s="25">
        <v>890</v>
      </c>
      <c r="B140" s="2">
        <v>15.525111680570605</v>
      </c>
      <c r="C140" s="2">
        <v>16.111992955324563</v>
      </c>
      <c r="D140" s="2">
        <v>17.317824048419673</v>
      </c>
      <c r="E140" s="2">
        <v>16.141535803306834</v>
      </c>
      <c r="F140" s="2">
        <v>17.595789671845051</v>
      </c>
      <c r="G140" s="2">
        <v>15.115750703752525</v>
      </c>
    </row>
    <row r="141" spans="1:7" x14ac:dyDescent="0.3">
      <c r="A141" s="25">
        <v>900</v>
      </c>
      <c r="B141" s="2">
        <v>13.200958969937837</v>
      </c>
      <c r="C141" s="2">
        <v>14.567041862888198</v>
      </c>
      <c r="D141" s="2">
        <v>15.821490725111722</v>
      </c>
      <c r="E141" s="2">
        <v>16.575282724254617</v>
      </c>
      <c r="F141" s="2">
        <v>15.449987706037748</v>
      </c>
      <c r="G141" s="2">
        <v>15.745708290216966</v>
      </c>
    </row>
    <row r="142" spans="1:7" x14ac:dyDescent="0.3">
      <c r="A142" s="25">
        <v>910</v>
      </c>
      <c r="B142" s="2">
        <v>12.08203396483038</v>
      </c>
      <c r="C142" s="2">
        <v>12.532450340233801</v>
      </c>
      <c r="D142" s="2">
        <v>10.538991166358725</v>
      </c>
      <c r="E142" s="2">
        <v>9.3945871859974908</v>
      </c>
      <c r="F142" s="2">
        <v>6.8117422389938493</v>
      </c>
      <c r="G142" s="2">
        <v>9.4009021620757593</v>
      </c>
    </row>
    <row r="143" spans="1:7" x14ac:dyDescent="0.3">
      <c r="A143" s="25">
        <v>920</v>
      </c>
      <c r="B143" s="2">
        <v>10.7804365347118</v>
      </c>
      <c r="C143" s="2">
        <v>17.549851510708784</v>
      </c>
      <c r="D143" s="2">
        <v>11.068988413451921</v>
      </c>
      <c r="E143" s="2">
        <v>15.5343278340893</v>
      </c>
      <c r="F143" s="2">
        <v>13.080445904557944</v>
      </c>
      <c r="G143" s="2">
        <v>13.675796772007907</v>
      </c>
    </row>
    <row r="144" spans="1:7" x14ac:dyDescent="0.3">
      <c r="A144" s="25">
        <v>930</v>
      </c>
      <c r="B144" s="2">
        <v>13.527051211501849</v>
      </c>
      <c r="C144" s="2">
        <v>14.109853259223014</v>
      </c>
      <c r="D144" s="2">
        <v>14.678609762181033</v>
      </c>
      <c r="E144" s="2">
        <v>15.630661742121337</v>
      </c>
      <c r="F144" s="2">
        <v>8.370423663531124</v>
      </c>
      <c r="G144" s="2">
        <v>8.3269173241006555</v>
      </c>
    </row>
    <row r="145" spans="1:7" x14ac:dyDescent="0.3">
      <c r="A145" s="25">
        <v>940</v>
      </c>
      <c r="B145" s="2">
        <v>6.3606744711260319</v>
      </c>
      <c r="C145" s="2">
        <v>12.799639103405724</v>
      </c>
      <c r="D145" s="2">
        <v>7.7024856419059944</v>
      </c>
      <c r="E145" s="2">
        <v>6.542222290978815</v>
      </c>
      <c r="F145" s="2">
        <v>9.1081424923235481</v>
      </c>
      <c r="G145" s="2">
        <v>5.1136885363101996</v>
      </c>
    </row>
    <row r="146" spans="1:7" x14ac:dyDescent="0.3">
      <c r="A146" s="25">
        <v>950</v>
      </c>
      <c r="B146" s="2">
        <v>15.632410185479602</v>
      </c>
      <c r="C146" s="2">
        <v>13.816435781920182</v>
      </c>
      <c r="D146" s="2">
        <v>13.827078383528264</v>
      </c>
      <c r="E146" s="2">
        <v>15.544421175984729</v>
      </c>
      <c r="F146" s="2">
        <v>15.16724368571202</v>
      </c>
      <c r="G146" s="2">
        <v>14.480102308259902</v>
      </c>
    </row>
    <row r="147" spans="1:7" x14ac:dyDescent="0.3">
      <c r="A147" s="25">
        <v>960</v>
      </c>
      <c r="B147" s="2">
        <v>15.703235327165217</v>
      </c>
      <c r="C147" s="2">
        <v>15.22917581940542</v>
      </c>
      <c r="D147" s="2">
        <v>15.874538569451362</v>
      </c>
      <c r="E147" s="2">
        <v>9.8862467847159028</v>
      </c>
      <c r="F147" s="2">
        <v>12.988882024908586</v>
      </c>
      <c r="G147" s="2">
        <v>6.9259778106770407</v>
      </c>
    </row>
    <row r="148" spans="1:7" x14ac:dyDescent="0.3">
      <c r="A148" s="25">
        <v>970</v>
      </c>
      <c r="B148" s="2">
        <v>15.315868141950373</v>
      </c>
      <c r="C148" s="2">
        <v>15.180477236353907</v>
      </c>
      <c r="D148" s="2">
        <v>16.016960506480864</v>
      </c>
      <c r="E148" s="2">
        <v>16.550698507749487</v>
      </c>
      <c r="F148" s="2">
        <v>16.703081953852372</v>
      </c>
      <c r="G148" s="2">
        <v>16.263971633968616</v>
      </c>
    </row>
    <row r="149" spans="1:7" x14ac:dyDescent="0.3">
      <c r="A149" s="25">
        <v>980</v>
      </c>
      <c r="B149" s="2">
        <v>15.152420720334877</v>
      </c>
      <c r="C149" s="2">
        <v>15.60682121047865</v>
      </c>
      <c r="D149" s="2">
        <v>16.041171809761913</v>
      </c>
      <c r="E149" s="2">
        <v>14.51923002271044</v>
      </c>
      <c r="F149" s="2">
        <v>15.396953548952807</v>
      </c>
      <c r="G149" s="2">
        <v>15.570607922801354</v>
      </c>
    </row>
    <row r="150" spans="1:7" x14ac:dyDescent="0.3">
      <c r="A150" s="25">
        <v>990</v>
      </c>
      <c r="B150" s="2">
        <v>15.130821823969788</v>
      </c>
      <c r="C150" s="2">
        <v>16.318771747848089</v>
      </c>
      <c r="D150" s="2">
        <v>13.177896264755015</v>
      </c>
      <c r="E150" s="2">
        <v>15.349819535779897</v>
      </c>
      <c r="F150" s="2">
        <v>15.986431234023071</v>
      </c>
      <c r="G150" s="2">
        <v>12.854627657181201</v>
      </c>
    </row>
    <row r="151" spans="1:7" x14ac:dyDescent="0.3">
      <c r="A151" s="25">
        <v>1000</v>
      </c>
      <c r="B151" s="2">
        <v>13.81163384873765</v>
      </c>
      <c r="C151" s="2">
        <v>16.472682541567679</v>
      </c>
      <c r="D151" s="2">
        <v>14.731296335363368</v>
      </c>
      <c r="E151" s="2">
        <v>13.844114221106139</v>
      </c>
      <c r="F151" s="2">
        <v>17.863726006074867</v>
      </c>
      <c r="G151" s="2">
        <v>16.632365015803213</v>
      </c>
    </row>
  </sheetData>
  <mergeCells count="3">
    <mergeCell ref="B4:C4"/>
    <mergeCell ref="E4:F4"/>
    <mergeCell ref="H4:I4"/>
  </mergeCells>
  <dataValidations count="4">
    <dataValidation type="list" allowBlank="1" showInputMessage="1" showErrorMessage="1" sqref="B8" xr:uid="{E7B39AE9-14B6-1249-A9B9-2F208660642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A7849882-DA3C-A047-98AB-7903DD41C588}">
      <formula1>0</formula1>
    </dataValidation>
    <dataValidation type="list" errorStyle="warning" allowBlank="1" showInputMessage="1" showErrorMessage="1" sqref="F5" xr:uid="{4E81B98C-4689-B04D-BB68-214403324D20}">
      <formula1>"Call,Put"</formula1>
    </dataValidation>
    <dataValidation type="list" allowBlank="1" showInputMessage="1" showErrorMessage="1" sqref="I9" xr:uid="{FCC5C13A-7235-A04E-A2F0-7191CB8F6D83}">
      <formula1>"Linear,Quadratic,Cubic,Quartic,Quintic,Sextic"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59</vt:i4>
      </vt:variant>
    </vt:vector>
  </HeadingPairs>
  <TitlesOfParts>
    <vt:vector size="62" baseType="lpstr">
      <vt:lpstr>EU Pricing</vt:lpstr>
      <vt:lpstr>Conv LS vs BS</vt:lpstr>
      <vt:lpstr>Regres. Comp</vt:lpstr>
      <vt:lpstr>BS_Price</vt:lpstr>
      <vt:lpstr>BS_range</vt:lpstr>
      <vt:lpstr>Compute_Antithetic</vt:lpstr>
      <vt:lpstr>Conv_LS_Div</vt:lpstr>
      <vt:lpstr>Conv_LS_DivDate</vt:lpstr>
      <vt:lpstr>Conv_LS_DivType</vt:lpstr>
      <vt:lpstr>Conv_LS_Ex_frontier</vt:lpstr>
      <vt:lpstr>Conv_LS_Exercise</vt:lpstr>
      <vt:lpstr>Conv_LS_Maturity</vt:lpstr>
      <vt:lpstr>Conv_LS_OptType</vt:lpstr>
      <vt:lpstr>Conv_LS_P1</vt:lpstr>
      <vt:lpstr>Conv_LS_Paths</vt:lpstr>
      <vt:lpstr>Conv_LS_PList</vt:lpstr>
      <vt:lpstr>Conv_LS_PrDate</vt:lpstr>
      <vt:lpstr>Conv_LS_Rate</vt:lpstr>
      <vt:lpstr>Conv_LS_Seed</vt:lpstr>
      <vt:lpstr>Conv_LS_Spot</vt:lpstr>
      <vt:lpstr>Conv_LS_Steps</vt:lpstr>
      <vt:lpstr>Conv_LS_Strike</vt:lpstr>
      <vt:lpstr>Conv_LS_Vol</vt:lpstr>
      <vt:lpstr>Div</vt:lpstr>
      <vt:lpstr>DivDate</vt:lpstr>
      <vt:lpstr>DivType</vt:lpstr>
      <vt:lpstr>Ex_frontier</vt:lpstr>
      <vt:lpstr>Exercise</vt:lpstr>
      <vt:lpstr>LPB_MC</vt:lpstr>
      <vt:lpstr>Maturity</vt:lpstr>
      <vt:lpstr>MCPrices</vt:lpstr>
      <vt:lpstr>ModelPrices</vt:lpstr>
      <vt:lpstr>OptType</vt:lpstr>
      <vt:lpstr>Paths</vt:lpstr>
      <vt:lpstr>Paths_Main</vt:lpstr>
      <vt:lpstr>PrDate</vt:lpstr>
      <vt:lpstr>Rate</vt:lpstr>
      <vt:lpstr>RC_Div</vt:lpstr>
      <vt:lpstr>RC_DivType</vt:lpstr>
      <vt:lpstr>RC_Ex_frontier</vt:lpstr>
      <vt:lpstr>RC_Exercise</vt:lpstr>
      <vt:lpstr>RC_Maturity</vt:lpstr>
      <vt:lpstr>RC_OptType</vt:lpstr>
      <vt:lpstr>RC_Paths</vt:lpstr>
      <vt:lpstr>RC_PrDate</vt:lpstr>
      <vt:lpstr>RC_Rate</vt:lpstr>
      <vt:lpstr>RC_Seed</vt:lpstr>
      <vt:lpstr>RC_Spot</vt:lpstr>
      <vt:lpstr>RC_Steps</vt:lpstr>
      <vt:lpstr>RC_StepsList</vt:lpstr>
      <vt:lpstr>RC_Strike</vt:lpstr>
      <vt:lpstr>RC_Vol</vt:lpstr>
      <vt:lpstr>RCPrices</vt:lpstr>
      <vt:lpstr>Seed</vt:lpstr>
      <vt:lpstr>Spot</vt:lpstr>
      <vt:lpstr>Steps</vt:lpstr>
      <vt:lpstr>Strike</vt:lpstr>
      <vt:lpstr>Strike_range</vt:lpstr>
      <vt:lpstr>Times</vt:lpstr>
      <vt:lpstr>TreePrice</vt:lpstr>
      <vt:lpstr>UPB_MC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Chebrek</dc:creator>
  <cp:lastModifiedBy>HELLOT Jules</cp:lastModifiedBy>
  <dcterms:created xsi:type="dcterms:W3CDTF">2025-03-01T14:59:41Z</dcterms:created>
  <dcterms:modified xsi:type="dcterms:W3CDTF">2025-03-19T22:13:12Z</dcterms:modified>
</cp:coreProperties>
</file>