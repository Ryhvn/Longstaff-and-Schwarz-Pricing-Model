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emache/Documents/GitHub/Longstaff-and-Schwarz-Pricing-Model-main/"/>
    </mc:Choice>
  </mc:AlternateContent>
  <xr:revisionPtr revIDLastSave="0" documentId="13_ncr:1_{C113A7F4-97FE-ED4E-834F-DE1A21FF992B}" xr6:coauthVersionLast="47" xr6:coauthVersionMax="47" xr10:uidLastSave="{00000000-0000-0000-0000-000000000000}"/>
  <bookViews>
    <workbookView xWindow="17100" yWindow="1380" windowWidth="18440" windowHeight="14920" activeTab="1" xr2:uid="{38ACCF9D-1AC6-844E-A0DC-C56205881ADB}"/>
  </bookViews>
  <sheets>
    <sheet name="Pricing Models" sheetId="2" r:id="rId1"/>
    <sheet name="Conv LS vs BS" sheetId="1" r:id="rId2"/>
  </sheets>
  <externalReferences>
    <externalReference r:id="rId3"/>
  </externalReferences>
  <definedNames>
    <definedName name="BS_Div">'[1]M1 Black &amp; Scholes Menu'!$B$12</definedName>
    <definedName name="BS_IntRate">'[1]M1 Black &amp; Scholes Menu'!$B$11</definedName>
    <definedName name="BS_K1">'[1]M1 Black &amp; Scholes Menu'!$B$4</definedName>
    <definedName name="BS_range">'Conv LS vs BS'!$C$13:$L$13</definedName>
    <definedName name="BS_Vol">'[1]M1 Black &amp; Scholes Menu'!$B$10</definedName>
    <definedName name="Conv_LS_Div">'Conv LS vs BS'!$C$8</definedName>
    <definedName name="Conv_LS_DivDate">'Conv LS vs BS'!$C$9</definedName>
    <definedName name="Conv_LS_Exercise">'Conv LS vs BS'!$F$8</definedName>
    <definedName name="Conv_LS_Maturity">'Conv LS vs BS'!$F$7</definedName>
    <definedName name="Conv_LS_OptType">'Conv LS vs BS'!$F$5</definedName>
    <definedName name="Conv_LS_P1">'Conv LS vs BS'!$C$16</definedName>
    <definedName name="Conv_LS_Paths">'Conv LS vs BS'!$I$6</definedName>
    <definedName name="Conv_LS_PrDate">'Conv LS vs BS'!$I$5</definedName>
    <definedName name="Conv_LS_Rate">'Conv LS vs BS'!$C$7</definedName>
    <definedName name="Conv_LS_S1">'Conv LS vs BS'!$B$16</definedName>
    <definedName name="Conv_LS_Seed">'Conv LS vs BS'!$I$8</definedName>
    <definedName name="Conv_LS_Spot">'Conv LS vs BS'!$C$5</definedName>
    <definedName name="Conv_LS_Steps">'Conv LS vs BS'!$I$7</definedName>
    <definedName name="Conv_LS_Strike">'Conv LS vs BS'!$F$6</definedName>
    <definedName name="Conv_LS_Vol">'Conv LS vs BS'!$C$6</definedName>
    <definedName name="Div">'Pricing Models'!$C$10</definedName>
    <definedName name="DivDate">'Pricing Models'!$C$11</definedName>
    <definedName name="Exercise">'Pricing Models'!$F$10</definedName>
    <definedName name="Exercise1">'Pricing Models'!$B$12</definedName>
    <definedName name="Maturity">'Pricing Models'!$F$9</definedName>
    <definedName name="Maturity1">'Pricing Models'!$B$11</definedName>
    <definedName name="ModelPrices">'Pricing Models'!$B$16</definedName>
    <definedName name="OptType">'Pricing Models'!$F$7</definedName>
    <definedName name="Paths">'Pricing Models'!$I$8</definedName>
    <definedName name="PrDate">'Pricing Models'!$I$7</definedName>
    <definedName name="Price">'Pricing Models'!#REF!</definedName>
    <definedName name="Rate">'Pricing Models'!$C$9</definedName>
    <definedName name="Seed">'Pricing Models'!$I$10</definedName>
    <definedName name="Spot">'Pricing Models'!$C$7</definedName>
    <definedName name="Steps">'Pricing Models'!$I$9</definedName>
    <definedName name="Strike">'Pricing Models'!$F$8</definedName>
    <definedName name="Strike_range">'Conv LS vs BS'!$C$12:$L$12</definedName>
    <definedName name="Times">'Pricing Models'!$B$17</definedName>
    <definedName name="Vol">'Pricing Models'!$C$8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" i="1" l="1"/>
  <c r="Q17" i="1"/>
  <c r="R17" i="1"/>
  <c r="S17" i="1"/>
  <c r="T17" i="1"/>
  <c r="U17" i="1"/>
  <c r="V17" i="1"/>
  <c r="W17" i="1"/>
  <c r="X17" i="1"/>
  <c r="P18" i="1"/>
  <c r="Q18" i="1"/>
  <c r="R18" i="1"/>
  <c r="S18" i="1"/>
  <c r="T18" i="1"/>
  <c r="U18" i="1"/>
  <c r="V18" i="1"/>
  <c r="W18" i="1"/>
  <c r="X18" i="1"/>
  <c r="P19" i="1"/>
  <c r="Q19" i="1"/>
  <c r="R19" i="1"/>
  <c r="S19" i="1"/>
  <c r="T19" i="1"/>
  <c r="U19" i="1"/>
  <c r="V19" i="1"/>
  <c r="W19" i="1"/>
  <c r="X19" i="1"/>
  <c r="P20" i="1"/>
  <c r="Q20" i="1"/>
  <c r="R20" i="1"/>
  <c r="S20" i="1"/>
  <c r="T20" i="1"/>
  <c r="U20" i="1"/>
  <c r="V20" i="1"/>
  <c r="W20" i="1"/>
  <c r="X20" i="1"/>
  <c r="P21" i="1"/>
  <c r="Q21" i="1"/>
  <c r="R21" i="1"/>
  <c r="S21" i="1"/>
  <c r="T21" i="1"/>
  <c r="U21" i="1"/>
  <c r="V21" i="1"/>
  <c r="W21" i="1"/>
  <c r="X21" i="1"/>
  <c r="P22" i="1"/>
  <c r="Q22" i="1"/>
  <c r="R22" i="1"/>
  <c r="S22" i="1"/>
  <c r="T22" i="1"/>
  <c r="U22" i="1"/>
  <c r="V22" i="1"/>
  <c r="W22" i="1"/>
  <c r="X22" i="1"/>
  <c r="P23" i="1"/>
  <c r="Q23" i="1"/>
  <c r="R23" i="1"/>
  <c r="S23" i="1"/>
  <c r="T23" i="1"/>
  <c r="U23" i="1"/>
  <c r="V23" i="1"/>
  <c r="W23" i="1"/>
  <c r="X23" i="1"/>
  <c r="P24" i="1"/>
  <c r="Q24" i="1"/>
  <c r="R24" i="1"/>
  <c r="S24" i="1"/>
  <c r="T24" i="1"/>
  <c r="U24" i="1"/>
  <c r="V24" i="1"/>
  <c r="W24" i="1"/>
  <c r="X24" i="1"/>
  <c r="P25" i="1"/>
  <c r="Q25" i="1"/>
  <c r="R25" i="1"/>
  <c r="S25" i="1"/>
  <c r="T25" i="1"/>
  <c r="U25" i="1"/>
  <c r="V25" i="1"/>
  <c r="W25" i="1"/>
  <c r="X25" i="1"/>
  <c r="P26" i="1"/>
  <c r="Q26" i="1"/>
  <c r="R26" i="1"/>
  <c r="S26" i="1"/>
  <c r="T26" i="1"/>
  <c r="U26" i="1"/>
  <c r="V26" i="1"/>
  <c r="W26" i="1"/>
  <c r="X26" i="1"/>
  <c r="P27" i="1"/>
  <c r="Q27" i="1"/>
  <c r="R27" i="1"/>
  <c r="S27" i="1"/>
  <c r="T27" i="1"/>
  <c r="U27" i="1"/>
  <c r="V27" i="1"/>
  <c r="W27" i="1"/>
  <c r="X27" i="1"/>
  <c r="P28" i="1"/>
  <c r="Q28" i="1"/>
  <c r="R28" i="1"/>
  <c r="S28" i="1"/>
  <c r="T28" i="1"/>
  <c r="U28" i="1"/>
  <c r="V28" i="1"/>
  <c r="W28" i="1"/>
  <c r="X28" i="1"/>
  <c r="P29" i="1"/>
  <c r="Q29" i="1"/>
  <c r="R29" i="1"/>
  <c r="S29" i="1"/>
  <c r="T29" i="1"/>
  <c r="U29" i="1"/>
  <c r="V29" i="1"/>
  <c r="W29" i="1"/>
  <c r="X29" i="1"/>
  <c r="P30" i="1"/>
  <c r="Q30" i="1"/>
  <c r="R30" i="1"/>
  <c r="S30" i="1"/>
  <c r="T30" i="1"/>
  <c r="U30" i="1"/>
  <c r="V30" i="1"/>
  <c r="W30" i="1"/>
  <c r="X30" i="1"/>
  <c r="P31" i="1"/>
  <c r="Q31" i="1"/>
  <c r="R31" i="1"/>
  <c r="S31" i="1"/>
  <c r="T31" i="1"/>
  <c r="U31" i="1"/>
  <c r="V31" i="1"/>
  <c r="W31" i="1"/>
  <c r="X31" i="1"/>
  <c r="P32" i="1"/>
  <c r="Q32" i="1"/>
  <c r="R32" i="1"/>
  <c r="S32" i="1"/>
  <c r="T32" i="1"/>
  <c r="U32" i="1"/>
  <c r="V32" i="1"/>
  <c r="W32" i="1"/>
  <c r="X32" i="1"/>
  <c r="P33" i="1"/>
  <c r="Q33" i="1"/>
  <c r="R33" i="1"/>
  <c r="S33" i="1"/>
  <c r="T33" i="1"/>
  <c r="U33" i="1"/>
  <c r="V33" i="1"/>
  <c r="W33" i="1"/>
  <c r="X33" i="1"/>
  <c r="P34" i="1"/>
  <c r="Q34" i="1"/>
  <c r="R34" i="1"/>
  <c r="S34" i="1"/>
  <c r="T34" i="1"/>
  <c r="U34" i="1"/>
  <c r="V34" i="1"/>
  <c r="W34" i="1"/>
  <c r="X34" i="1"/>
  <c r="P35" i="1"/>
  <c r="Q35" i="1"/>
  <c r="R35" i="1"/>
  <c r="S35" i="1"/>
  <c r="T35" i="1"/>
  <c r="U35" i="1"/>
  <c r="V35" i="1"/>
  <c r="W35" i="1"/>
  <c r="X35" i="1"/>
  <c r="P36" i="1"/>
  <c r="Q36" i="1"/>
  <c r="R36" i="1"/>
  <c r="S36" i="1"/>
  <c r="T36" i="1"/>
  <c r="U36" i="1"/>
  <c r="V36" i="1"/>
  <c r="W36" i="1"/>
  <c r="X36" i="1"/>
  <c r="P37" i="1"/>
  <c r="Q37" i="1"/>
  <c r="R37" i="1"/>
  <c r="S37" i="1"/>
  <c r="T37" i="1"/>
  <c r="U37" i="1"/>
  <c r="V37" i="1"/>
  <c r="W37" i="1"/>
  <c r="X37" i="1"/>
  <c r="P38" i="1"/>
  <c r="Q38" i="1"/>
  <c r="R38" i="1"/>
  <c r="S38" i="1"/>
  <c r="T38" i="1"/>
  <c r="U38" i="1"/>
  <c r="V38" i="1"/>
  <c r="W38" i="1"/>
  <c r="X38" i="1"/>
  <c r="P39" i="1"/>
  <c r="Q39" i="1"/>
  <c r="R39" i="1"/>
  <c r="S39" i="1"/>
  <c r="T39" i="1"/>
  <c r="U39" i="1"/>
  <c r="V39" i="1"/>
  <c r="W39" i="1"/>
  <c r="X39" i="1"/>
  <c r="P40" i="1"/>
  <c r="Q40" i="1"/>
  <c r="R40" i="1"/>
  <c r="S40" i="1"/>
  <c r="T40" i="1"/>
  <c r="U40" i="1"/>
  <c r="V40" i="1"/>
  <c r="W40" i="1"/>
  <c r="X40" i="1"/>
  <c r="O16" i="1"/>
  <c r="X16" i="1"/>
  <c r="Q16" i="1"/>
  <c r="R16" i="1"/>
  <c r="S16" i="1"/>
  <c r="T16" i="1"/>
  <c r="U16" i="1"/>
  <c r="V16" i="1"/>
  <c r="W16" i="1"/>
  <c r="P16" i="1"/>
  <c r="O21" i="1"/>
  <c r="O20" i="1"/>
  <c r="O19" i="1"/>
  <c r="O18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17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C5" i="1"/>
  <c r="I7" i="1"/>
  <c r="F5" i="1"/>
  <c r="C9" i="1"/>
  <c r="C8" i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<sst xmlns="http://schemas.openxmlformats.org/spreadsheetml/2006/main" count="67" uniqueCount="45">
  <si>
    <t>Option</t>
  </si>
  <si>
    <t>Call</t>
  </si>
  <si>
    <t>Paths</t>
  </si>
  <si>
    <t>Résultats Pricing</t>
  </si>
  <si>
    <t>Black-Scholes</t>
  </si>
  <si>
    <t>MC Scalar</t>
  </si>
  <si>
    <t>MC Vectorized</t>
  </si>
  <si>
    <t>LS Scalar</t>
  </si>
  <si>
    <t>LS Vectorized</t>
  </si>
  <si>
    <t>Steps</t>
  </si>
  <si>
    <t>Seed</t>
  </si>
  <si>
    <t>Stock price S:</t>
  </si>
  <si>
    <r>
      <t xml:space="preserve">Volatility </t>
    </r>
    <r>
      <rPr>
        <sz val="10"/>
        <color theme="1"/>
        <rFont val="Calibri"/>
        <family val="2"/>
      </rPr>
      <t>σ</t>
    </r>
    <r>
      <rPr>
        <sz val="12"/>
        <color theme="1"/>
        <rFont val="Aptos Narrow"/>
        <family val="2"/>
        <scheme val="minor"/>
      </rPr>
      <t>:</t>
    </r>
  </si>
  <si>
    <t>Interest rate r:</t>
  </si>
  <si>
    <t>Dividend (discrete):</t>
  </si>
  <si>
    <t>Dividend Date:</t>
  </si>
  <si>
    <t>Market</t>
  </si>
  <si>
    <t>Model</t>
  </si>
  <si>
    <t>Am exec frontier</t>
  </si>
  <si>
    <t>Quadratic</t>
  </si>
  <si>
    <t>Pricing Date</t>
  </si>
  <si>
    <t>European</t>
  </si>
  <si>
    <t>Type:</t>
  </si>
  <si>
    <t>Maturity:</t>
  </si>
  <si>
    <t>Exercise</t>
  </si>
  <si>
    <t>EUR</t>
  </si>
  <si>
    <r>
      <t>year</t>
    </r>
    <r>
      <rPr>
        <vertAlign val="superscript"/>
        <sz val="10"/>
        <color theme="1"/>
        <rFont val="Arial"/>
        <family val="2"/>
      </rPr>
      <t>-1/2</t>
    </r>
  </si>
  <si>
    <r>
      <t>year</t>
    </r>
    <r>
      <rPr>
        <vertAlign val="superscript"/>
        <sz val="10"/>
        <color theme="1"/>
        <rFont val="Arial"/>
        <family val="2"/>
      </rPr>
      <t>-1</t>
    </r>
    <r>
      <rPr>
        <sz val="12"/>
        <color theme="1"/>
        <rFont val="Aptos Narrow"/>
        <family val="2"/>
        <scheme val="minor"/>
      </rPr>
      <t/>
    </r>
  </si>
  <si>
    <t>Strike:</t>
  </si>
  <si>
    <t>(Python)</t>
  </si>
  <si>
    <t>sec</t>
  </si>
  <si>
    <t>Strike</t>
  </si>
  <si>
    <t>Price BS</t>
  </si>
  <si>
    <t>Nb steps</t>
  </si>
  <si>
    <t>Options Pricing with all Methods</t>
  </si>
  <si>
    <t>Product:</t>
  </si>
  <si>
    <t>Price:</t>
  </si>
  <si>
    <t>Time:</t>
  </si>
  <si>
    <t>Continuous Dividend:</t>
  </si>
  <si>
    <t>Convergence towards BS price for American call (identical to the European call)</t>
  </si>
  <si>
    <t>American Option</t>
  </si>
  <si>
    <t>Cond. Coloring</t>
  </si>
  <si>
    <t>0.001</t>
  </si>
  <si>
    <t>(power)</t>
  </si>
  <si>
    <t>Différence: (MC - BS) x (NbSteps)^power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</si>
</sst>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0"/>
      <color theme="1"/>
      <name val="Calibri"/>
      <family val="2"/>
    </font>
    <font>
      <b/>
      <sz val="11"/>
      <color theme="0"/>
      <name val="Arial"/>
      <family val="2"/>
    </font>
    <font>
      <vertAlign val="superscript"/>
      <sz val="10"/>
      <color theme="1"/>
      <name val="Arial"/>
      <family val="2"/>
    </font>
    <font>
      <b/>
      <sz val="12"/>
      <color theme="0"/>
      <name val="Aptos Narrow"/>
      <scheme val="minor"/>
    </font>
    <font>
      <b/>
      <sz val="12"/>
      <color theme="1"/>
      <name val="Aptos Narrow"/>
      <scheme val="minor"/>
    </font>
    <font>
      <b/>
      <sz val="18"/>
      <color rgb="FF6666D0"/>
      <name val="Aptos Narrow"/>
      <scheme val="minor"/>
    </font>
    <font>
      <u/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C7D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15" fontId="0" fillId="0" borderId="1" xfId="0" applyNumberFormat="1" applyBorder="1"/>
    <xf numFmtId="0" fontId="0" fillId="5" borderId="1" xfId="0" applyFill="1" applyBorder="1" applyAlignment="1">
      <alignment horizontal="center"/>
    </xf>
    <xf numFmtId="9" fontId="0" fillId="0" borderId="1" xfId="0" applyNumberFormat="1" applyBorder="1"/>
    <xf numFmtId="0" fontId="0" fillId="0" borderId="1" xfId="0" applyBorder="1"/>
    <xf numFmtId="0" fontId="0" fillId="5" borderId="1" xfId="0" applyFill="1" applyBorder="1"/>
    <xf numFmtId="0" fontId="0" fillId="5" borderId="1" xfId="0" applyFill="1" applyBorder="1" applyAlignment="1">
      <alignment horizontal="right"/>
    </xf>
    <xf numFmtId="0" fontId="4" fillId="6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3" borderId="3" xfId="0" applyFill="1" applyBorder="1"/>
    <xf numFmtId="0" fontId="6" fillId="2" borderId="0" xfId="0" applyFont="1" applyFill="1"/>
    <xf numFmtId="0" fontId="7" fillId="2" borderId="0" xfId="0" applyFont="1" applyFill="1"/>
    <xf numFmtId="0" fontId="5" fillId="3" borderId="1" xfId="0" applyFont="1" applyFill="1" applyBorder="1"/>
    <xf numFmtId="0" fontId="8" fillId="3" borderId="0" xfId="0" applyFont="1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66D0"/>
      <color rgb="FFAC4EF5"/>
      <color rgb="FFFF9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" TargetMode="External"/><Relationship Id="rId2" Type="http://schemas.microsoft.com/office/2019/04/relationships/externalLinkLongPath" Target="https://universitedauphine-my.sharepoint.com/personal/ryhan_chebrek_dauphine_eu/Documents/Bureau/Etudes/Master%202%20Econome%20et%20Inge&#769;nierie%20financie&#768;re/S1/Informatique%20applique&#769;%20a&#768;%20la%20finance%20(VBA%20&amp;%20Python)/Final/VBATree_Bourjot_Chebrek.xlsm?3B443FF9" TargetMode="External"/><Relationship Id="rId1" Type="http://schemas.openxmlformats.org/officeDocument/2006/relationships/externalLinkPath" Target="file:///3B443FF9/VBATree_Bourjot_Chebre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ree of Prices"/>
      <sheetName val="B&amp;S vs Tree"/>
      <sheetName val="M1 Black &amp; Scholes Menu"/>
      <sheetName val="Convergence"/>
      <sheetName val="Strike Function"/>
    </sheetNames>
    <sheetDataSet>
      <sheetData sheetId="0" refreshError="1"/>
      <sheetData sheetId="1" refreshError="1"/>
      <sheetData sheetId="2">
        <row r="4">
          <cell r="B4">
            <v>101</v>
          </cell>
        </row>
        <row r="10">
          <cell r="B10">
            <v>0.21</v>
          </cell>
        </row>
        <row r="11">
          <cell r="B11">
            <v>0.03</v>
          </cell>
        </row>
        <row r="12">
          <cell r="B12">
            <v>0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6FCF9-5322-EE49-B316-BC1BA06C398B}">
  <dimension ref="A1:Z19"/>
  <sheetViews>
    <sheetView workbookViewId="0">
      <selection activeCell="E22" sqref="E22"/>
    </sheetView>
  </sheetViews>
  <sheetFormatPr baseColWidth="10" defaultRowHeight="16" x14ac:dyDescent="0.2"/>
  <cols>
    <col min="1" max="1" width="10.83203125" style="2"/>
    <col min="2" max="2" width="18.33203125" style="2" customWidth="1"/>
    <col min="3" max="3" width="13.1640625" style="2" customWidth="1"/>
    <col min="4" max="4" width="14.83203125" style="2" customWidth="1"/>
    <col min="5" max="5" width="12.33203125" style="2" customWidth="1"/>
    <col min="6" max="6" width="14" style="2" customWidth="1"/>
    <col min="7" max="7" width="10.83203125" style="2"/>
    <col min="8" max="8" width="14.1640625" style="2" bestFit="1" customWidth="1"/>
    <col min="9" max="9" width="12.6640625" style="2" customWidth="1"/>
    <col min="10" max="16384" width="10.83203125" style="2"/>
  </cols>
  <sheetData>
    <row r="1" spans="1:26" customFormat="1" ht="24" x14ac:dyDescent="0.3">
      <c r="A1" s="1"/>
      <c r="B1" s="1"/>
      <c r="C1" s="1"/>
      <c r="D1" s="1"/>
      <c r="E1" s="19" t="s">
        <v>34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customFormat="1" x14ac:dyDescent="0.2">
      <c r="A2" s="1"/>
      <c r="B2" s="2"/>
      <c r="C2" s="2"/>
      <c r="D2" s="2"/>
      <c r="E2" s="2"/>
      <c r="F2" s="2"/>
      <c r="G2" s="2"/>
      <c r="H2" s="2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customFormat="1" x14ac:dyDescent="0.2">
      <c r="A3" s="20" t="s">
        <v>35</v>
      </c>
      <c r="B3" s="2" t="str" cm="1">
        <f t="array" ref="B3">Exercise&amp;" "&amp;OptType&amp;" "&amp;TEXT(Maturity,"jj-mm-aaaa")&amp;" @ "&amp;Strike&amp;" with r="&amp;Rate&amp;", div="&amp;Div&amp;", vol="&amp;Vol&amp;" and spot="&amp;Spot&amp;" on "&amp;TEXT(PrDate,"jj-mmm-aa")</f>
        <v>European Call 14-02-2028 @ 100 with r=0,02, div=0, vol=0,3 and spot=100 on 14-févr-25</v>
      </c>
      <c r="C3" s="2"/>
      <c r="D3" s="2"/>
      <c r="E3" s="2"/>
      <c r="F3" s="2"/>
      <c r="G3" s="2"/>
      <c r="H3" s="2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customFormat="1" x14ac:dyDescent="0.2">
      <c r="A4" s="1"/>
      <c r="B4" s="2"/>
      <c r="C4" s="2"/>
      <c r="D4" s="2"/>
      <c r="E4" s="2"/>
      <c r="F4" s="2"/>
      <c r="G4" s="2"/>
      <c r="H4" s="2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customFormat="1" x14ac:dyDescent="0.2">
      <c r="A5" s="1"/>
      <c r="B5" s="2"/>
      <c r="C5" s="2"/>
      <c r="D5" s="2"/>
      <c r="E5" s="2"/>
      <c r="F5" s="2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customFormat="1" x14ac:dyDescent="0.2">
      <c r="A6" s="1"/>
      <c r="B6" s="15" t="s">
        <v>16</v>
      </c>
      <c r="C6" s="15"/>
      <c r="D6" s="1"/>
      <c r="E6" s="15" t="s">
        <v>0</v>
      </c>
      <c r="F6" s="15"/>
      <c r="G6" s="1"/>
      <c r="H6" s="15" t="s">
        <v>17</v>
      </c>
      <c r="I6" s="15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customFormat="1" x14ac:dyDescent="0.2">
      <c r="A7" s="1"/>
      <c r="B7" s="3" t="s">
        <v>11</v>
      </c>
      <c r="C7" s="5">
        <v>100</v>
      </c>
      <c r="D7" s="2" t="s">
        <v>25</v>
      </c>
      <c r="E7" s="3" t="s">
        <v>22</v>
      </c>
      <c r="F7" s="4" t="s">
        <v>1</v>
      </c>
      <c r="G7" s="1"/>
      <c r="H7" s="2" t="s">
        <v>20</v>
      </c>
      <c r="I7" s="6">
        <v>45702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customFormat="1" x14ac:dyDescent="0.2">
      <c r="A8" s="1"/>
      <c r="B8" s="3" t="s">
        <v>12</v>
      </c>
      <c r="C8" s="8">
        <v>0.3</v>
      </c>
      <c r="D8" s="2" t="s">
        <v>26</v>
      </c>
      <c r="E8" s="3" t="s">
        <v>28</v>
      </c>
      <c r="F8" s="5">
        <v>100</v>
      </c>
      <c r="G8" s="1"/>
      <c r="H8" s="1" t="s">
        <v>2</v>
      </c>
      <c r="I8" s="10">
        <v>2000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customFormat="1" x14ac:dyDescent="0.2">
      <c r="A9" s="1"/>
      <c r="B9" s="3" t="s">
        <v>13</v>
      </c>
      <c r="C9" s="8">
        <v>0.02</v>
      </c>
      <c r="D9" s="2" t="s">
        <v>27</v>
      </c>
      <c r="E9" s="3" t="s">
        <v>23</v>
      </c>
      <c r="F9" s="6">
        <v>46797</v>
      </c>
      <c r="G9" s="1"/>
      <c r="H9" s="1" t="s">
        <v>9</v>
      </c>
      <c r="I9" s="10">
        <v>50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customFormat="1" x14ac:dyDescent="0.2">
      <c r="A10" s="1"/>
      <c r="B10" s="3" t="s">
        <v>14</v>
      </c>
      <c r="C10" s="9">
        <v>0</v>
      </c>
      <c r="D10" s="2"/>
      <c r="E10" s="3" t="s">
        <v>24</v>
      </c>
      <c r="F10" s="7" t="s">
        <v>21</v>
      </c>
      <c r="G10" s="1"/>
      <c r="H10" s="1" t="s">
        <v>10</v>
      </c>
      <c r="I10" s="10">
        <v>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customFormat="1" x14ac:dyDescent="0.2">
      <c r="A11" s="1"/>
      <c r="B11" s="3" t="s">
        <v>15</v>
      </c>
      <c r="C11" s="6">
        <v>46188</v>
      </c>
      <c r="D11" s="2"/>
      <c r="E11" s="1"/>
      <c r="F11" s="1"/>
      <c r="G11" s="1"/>
      <c r="H11" s="1" t="s">
        <v>18</v>
      </c>
      <c r="I11" s="7" t="s">
        <v>19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customFormat="1" x14ac:dyDescent="0.2">
      <c r="A12" s="1"/>
      <c r="B12" s="2" t="s">
        <v>38</v>
      </c>
      <c r="C12" s="8">
        <v>0</v>
      </c>
      <c r="D12" s="2"/>
      <c r="E12" s="2"/>
      <c r="F12" s="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customFormat="1" x14ac:dyDescent="0.2">
      <c r="A13" s="2"/>
      <c r="B13" s="2"/>
      <c r="C13" s="2"/>
      <c r="D13" s="2"/>
      <c r="E13" s="2"/>
      <c r="F13" s="2"/>
      <c r="G13" s="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customFormat="1" x14ac:dyDescent="0.2">
      <c r="A14" s="17"/>
      <c r="B14" s="16" t="s">
        <v>3</v>
      </c>
      <c r="C14" s="16"/>
      <c r="D14" s="1" t="s">
        <v>29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customFormat="1" x14ac:dyDescent="0.2">
      <c r="A15" s="1"/>
      <c r="B15" s="12" t="s">
        <v>4</v>
      </c>
      <c r="C15" s="13" t="s">
        <v>5</v>
      </c>
      <c r="D15" s="13" t="s">
        <v>6</v>
      </c>
      <c r="E15" s="14" t="s">
        <v>7</v>
      </c>
      <c r="F15" s="14" t="s">
        <v>8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customFormat="1" x14ac:dyDescent="0.2">
      <c r="A16" s="20" t="s">
        <v>36</v>
      </c>
      <c r="B16" s="10">
        <v>22.943206386055593</v>
      </c>
      <c r="C16" s="10">
        <v>22.963457414292542</v>
      </c>
      <c r="D16" s="10">
        <v>22.963457414292545</v>
      </c>
      <c r="E16" s="10">
        <v>22.966012718222203</v>
      </c>
      <c r="F16" s="10">
        <v>22.966012718222206</v>
      </c>
      <c r="G16" s="1"/>
      <c r="H16" s="2"/>
      <c r="I16" s="2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customFormat="1" x14ac:dyDescent="0.2">
      <c r="A17" s="20" t="s">
        <v>37</v>
      </c>
      <c r="B17" s="10">
        <v>1.0988712310791016E-3</v>
      </c>
      <c r="C17" s="10">
        <v>3.4208202362060547</v>
      </c>
      <c r="D17" s="10">
        <v>4.0118694305419922E-3</v>
      </c>
      <c r="E17" s="10">
        <v>7.0290565490722656E-3</v>
      </c>
      <c r="F17" s="10">
        <v>4.7750473022460938E-3</v>
      </c>
      <c r="G17" s="2" t="s">
        <v>30</v>
      </c>
      <c r="H17" s="2"/>
      <c r="I17" s="2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customFormat="1" x14ac:dyDescent="0.2">
      <c r="A18" s="1"/>
      <c r="B18" s="2"/>
      <c r="C18" s="2"/>
      <c r="D18" s="2"/>
      <c r="E18" s="2"/>
      <c r="F18" s="2"/>
      <c r="G18" s="2"/>
      <c r="H18" s="2"/>
      <c r="I18" s="2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customFormat="1" x14ac:dyDescent="0.2">
      <c r="A19" s="1"/>
      <c r="B19" s="2"/>
      <c r="C19" s="2"/>
      <c r="D19" s="2"/>
      <c r="E19" s="2"/>
      <c r="F19" s="2"/>
      <c r="G19" s="2"/>
      <c r="H19" s="2"/>
      <c r="I19" s="2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</sheetData>
  <mergeCells count="4">
    <mergeCell ref="B14:C14"/>
    <mergeCell ref="B6:C6"/>
    <mergeCell ref="E6:F6"/>
    <mergeCell ref="H6:I6"/>
  </mergeCells>
  <dataValidations count="3">
    <dataValidation type="list" allowBlank="1" showInputMessage="1" showErrorMessage="1" sqref="F10" xr:uid="{05CADC83-9646-A945-83EA-7FC3C3A865E4}">
      <formula1>"European,American"</formula1>
    </dataValidation>
    <dataValidation type="decimal" errorStyle="warning" operator="greaterThan" allowBlank="1" showInputMessage="1" showErrorMessage="1" errorTitle="T-t &gt; 0" sqref="F9 C11 I7" xr:uid="{A92ACD82-4D18-A34A-8FA1-372EF30D1857}">
      <formula1>0</formula1>
    </dataValidation>
    <dataValidation type="list" errorStyle="warning" allowBlank="1" showInputMessage="1" showErrorMessage="1" sqref="F7" xr:uid="{2C7FD984-9989-E946-BBE8-D647356095AD}">
      <formula1>"Call,Put"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C8DC2-9257-4E40-B627-48767A6E75BF}">
  <dimension ref="B1:X40"/>
  <sheetViews>
    <sheetView tabSelected="1" zoomScale="94" workbookViewId="0">
      <selection activeCell="K8" sqref="K8"/>
    </sheetView>
  </sheetViews>
  <sheetFormatPr baseColWidth="10" defaultRowHeight="16" x14ac:dyDescent="0.2"/>
  <cols>
    <col min="1" max="1" width="10.83203125" style="2"/>
    <col min="2" max="2" width="17.33203125" style="2" bestFit="1" customWidth="1"/>
    <col min="3" max="3" width="10.5" style="2" customWidth="1"/>
    <col min="4" max="7" width="10.83203125" style="2"/>
    <col min="8" max="8" width="14.1640625" style="2" bestFit="1" customWidth="1"/>
    <col min="9" max="16384" width="10.83203125" style="2"/>
  </cols>
  <sheetData>
    <row r="1" spans="2:24" ht="24" x14ac:dyDescent="0.3">
      <c r="D1" s="19" t="s">
        <v>39</v>
      </c>
    </row>
    <row r="4" spans="2:24" x14ac:dyDescent="0.2">
      <c r="B4" s="15" t="s">
        <v>16</v>
      </c>
      <c r="C4" s="15"/>
      <c r="D4" s="1"/>
      <c r="E4" s="15" t="s">
        <v>0</v>
      </c>
      <c r="F4" s="15"/>
      <c r="G4" s="1"/>
      <c r="H4" s="15" t="s">
        <v>17</v>
      </c>
      <c r="I4" s="15"/>
    </row>
    <row r="5" spans="2:24" x14ac:dyDescent="0.2">
      <c r="B5" s="3" t="s">
        <v>11</v>
      </c>
      <c r="C5" s="5">
        <f>Spot</f>
        <v>100</v>
      </c>
      <c r="D5" s="2" t="s">
        <v>25</v>
      </c>
      <c r="E5" s="3" t="s">
        <v>22</v>
      </c>
      <c r="F5" s="4" t="str">
        <f>OptType</f>
        <v>Call</v>
      </c>
      <c r="G5" s="1"/>
      <c r="H5" s="2" t="s">
        <v>20</v>
      </c>
      <c r="I5" s="6">
        <v>45352</v>
      </c>
    </row>
    <row r="6" spans="2:24" x14ac:dyDescent="0.2">
      <c r="B6" s="3" t="s">
        <v>12</v>
      </c>
      <c r="C6" s="8">
        <v>0.2</v>
      </c>
      <c r="D6" s="2" t="s">
        <v>26</v>
      </c>
      <c r="E6" s="3" t="s">
        <v>28</v>
      </c>
      <c r="F6" s="5">
        <v>150</v>
      </c>
      <c r="G6" s="1"/>
      <c r="H6" s="1" t="s">
        <v>2</v>
      </c>
      <c r="I6" s="10">
        <v>500</v>
      </c>
    </row>
    <row r="7" spans="2:24" x14ac:dyDescent="0.2">
      <c r="B7" s="3" t="s">
        <v>13</v>
      </c>
      <c r="C7" s="8">
        <v>0.05</v>
      </c>
      <c r="D7" s="2" t="s">
        <v>27</v>
      </c>
      <c r="E7" s="3" t="s">
        <v>23</v>
      </c>
      <c r="F7" s="6">
        <v>45652</v>
      </c>
      <c r="G7" s="1"/>
      <c r="H7" s="1" t="s">
        <v>9</v>
      </c>
      <c r="I7" s="10">
        <f>Steps</f>
        <v>50</v>
      </c>
    </row>
    <row r="8" spans="2:24" x14ac:dyDescent="0.2">
      <c r="B8" s="3" t="s">
        <v>14</v>
      </c>
      <c r="C8" s="9">
        <f>Div</f>
        <v>0</v>
      </c>
      <c r="E8" s="3" t="s">
        <v>24</v>
      </c>
      <c r="F8" s="7" t="s">
        <v>21</v>
      </c>
      <c r="G8" s="1"/>
      <c r="H8" s="1" t="s">
        <v>10</v>
      </c>
      <c r="I8" s="10">
        <v>2</v>
      </c>
    </row>
    <row r="9" spans="2:24" x14ac:dyDescent="0.2">
      <c r="B9" s="3" t="s">
        <v>15</v>
      </c>
      <c r="C9" s="6">
        <f>DivDate</f>
        <v>46188</v>
      </c>
      <c r="E9" s="1"/>
      <c r="F9" s="1"/>
      <c r="G9" s="1"/>
      <c r="H9" s="1" t="s">
        <v>18</v>
      </c>
      <c r="I9" s="7" t="s">
        <v>19</v>
      </c>
    </row>
    <row r="10" spans="2:24" x14ac:dyDescent="0.2">
      <c r="G10" s="1"/>
      <c r="H10" s="1"/>
      <c r="I10" s="1"/>
    </row>
    <row r="11" spans="2:24" x14ac:dyDescent="0.2">
      <c r="B11" s="2" t="s">
        <v>41</v>
      </c>
      <c r="C11" s="11" t="s">
        <v>42</v>
      </c>
    </row>
    <row r="12" spans="2:24" x14ac:dyDescent="0.2">
      <c r="B12" s="2" t="s">
        <v>31</v>
      </c>
      <c r="C12" s="10">
        <v>85</v>
      </c>
      <c r="D12" s="10">
        <v>90</v>
      </c>
      <c r="E12" s="10">
        <v>95</v>
      </c>
      <c r="F12" s="10">
        <v>100</v>
      </c>
      <c r="G12" s="10">
        <v>105</v>
      </c>
      <c r="H12" s="10">
        <v>110</v>
      </c>
      <c r="I12" s="10">
        <v>115</v>
      </c>
      <c r="J12" s="10">
        <v>120</v>
      </c>
      <c r="K12" s="10">
        <v>125</v>
      </c>
      <c r="L12" s="10">
        <v>130</v>
      </c>
    </row>
    <row r="13" spans="2:24" x14ac:dyDescent="0.2">
      <c r="B13" s="2" t="s">
        <v>32</v>
      </c>
      <c r="C13" s="21">
        <v>19.493127132804375</v>
      </c>
      <c r="D13" s="21">
        <v>15.617056457794433</v>
      </c>
      <c r="E13" s="21">
        <v>12.191728755812427</v>
      </c>
      <c r="F13" s="21">
        <v>9.2719244956885944</v>
      </c>
      <c r="G13" s="21">
        <v>6.8719096713036123</v>
      </c>
      <c r="H13" s="21">
        <v>4.9678203997410222</v>
      </c>
      <c r="I13" s="21">
        <v>3.507229859060029</v>
      </c>
      <c r="J13" s="21">
        <v>2.4215726498553138</v>
      </c>
      <c r="K13" s="21">
        <v>1.6377304829415174</v>
      </c>
      <c r="L13" s="21">
        <v>1.0866609947422887</v>
      </c>
    </row>
    <row r="14" spans="2:24" x14ac:dyDescent="0.2">
      <c r="N14" s="2" t="s">
        <v>43</v>
      </c>
    </row>
    <row r="15" spans="2:24" ht="19" x14ac:dyDescent="0.25">
      <c r="B15" s="2" t="s">
        <v>33</v>
      </c>
      <c r="F15" s="22" t="s">
        <v>40</v>
      </c>
      <c r="N15" s="10">
        <v>0.1</v>
      </c>
      <c r="Q15" s="22" t="s">
        <v>44</v>
      </c>
    </row>
    <row r="16" spans="2:24" x14ac:dyDescent="0.2">
      <c r="B16" s="18">
        <v>10</v>
      </c>
      <c r="C16" s="23">
        <v>20.076622120337099</v>
      </c>
      <c r="D16" s="23">
        <v>16.186382266315853</v>
      </c>
      <c r="E16" s="23">
        <v>12.678139360107357</v>
      </c>
      <c r="F16" s="23">
        <v>9.6760501406627881</v>
      </c>
      <c r="G16" s="23">
        <v>7.2251497566731269</v>
      </c>
      <c r="H16" s="23">
        <v>5.2260851478550681</v>
      </c>
      <c r="I16" s="23">
        <v>3.7856087686042641</v>
      </c>
      <c r="J16" s="23">
        <v>2.57095697239814</v>
      </c>
      <c r="K16" s="23">
        <v>1.739364773090134</v>
      </c>
      <c r="L16" s="23">
        <v>1.181595710623226</v>
      </c>
      <c r="N16" s="23">
        <f>Conv_LS_S1</f>
        <v>10</v>
      </c>
      <c r="O16" s="23">
        <f>(Conv_LS_P1-C$13)*($N16^$N$15)</f>
        <v>0.73457666745946704</v>
      </c>
      <c r="P16" s="23">
        <f>(D16-D$13)*($N16^$N$15)</f>
        <v>0.71673872793787552</v>
      </c>
      <c r="Q16" s="23">
        <f t="shared" ref="Q16:X16" si="0">(E16-E$13)*($N16^$N$15)</f>
        <v>0.61235467031304436</v>
      </c>
      <c r="R16" s="23">
        <f t="shared" si="0"/>
        <v>0.50876404401572017</v>
      </c>
      <c r="S16" s="23">
        <f t="shared" si="0"/>
        <v>0.44470291993602296</v>
      </c>
      <c r="T16" s="23">
        <f t="shared" si="0"/>
        <v>0.32513605437139209</v>
      </c>
      <c r="U16" s="23">
        <f t="shared" si="0"/>
        <v>0.35045828333278733</v>
      </c>
      <c r="V16" s="23">
        <f t="shared" si="0"/>
        <v>0.18806371977282016</v>
      </c>
      <c r="W16" s="23">
        <f t="shared" si="0"/>
        <v>0.12794999057775513</v>
      </c>
      <c r="X16" s="23">
        <f>(L16-L$13)*($N16^$N$15)</f>
        <v>0.11951572628397122</v>
      </c>
    </row>
    <row r="17" spans="2:24" x14ac:dyDescent="0.2">
      <c r="B17" s="2">
        <v>20</v>
      </c>
      <c r="C17" s="24">
        <v>19.786546827576473</v>
      </c>
      <c r="D17" s="24">
        <v>15.968638689871742</v>
      </c>
      <c r="E17" s="24">
        <v>12.398960962927271</v>
      </c>
      <c r="F17" s="24">
        <v>9.4531458953946927</v>
      </c>
      <c r="G17" s="24">
        <v>7.1649120543283038</v>
      </c>
      <c r="H17" s="24">
        <v>5.1383289468637114</v>
      </c>
      <c r="I17" s="24">
        <v>3.5728713906847198</v>
      </c>
      <c r="J17" s="24">
        <v>2.5001950008682936</v>
      </c>
      <c r="K17" s="24">
        <v>1.7698330780912133</v>
      </c>
      <c r="L17" s="24">
        <v>1.2502648215123231</v>
      </c>
      <c r="N17" s="24">
        <f>B17</f>
        <v>20</v>
      </c>
      <c r="O17" s="24">
        <f>(C17-C$13)*($N17^$N$15)</f>
        <v>0.39590616132560374</v>
      </c>
      <c r="P17" s="24">
        <f t="shared" ref="P17:P40" si="1">(D17-D$13)*($N17^$N$15)</f>
        <v>0.47438387528869908</v>
      </c>
      <c r="Q17" s="24">
        <f t="shared" ref="Q17:Q40" si="2">(E17-E$13)*($N17^$N$15)</f>
        <v>0.27961486254559409</v>
      </c>
      <c r="R17" s="24">
        <f t="shared" ref="R17:R40" si="3">(F17-F$13)*($N17^$N$15)</f>
        <v>0.24451892625483335</v>
      </c>
      <c r="S17" s="24">
        <f t="shared" ref="S17:S40" si="4">(G17-G$13)*($N17^$N$15)</f>
        <v>0.39534308974269583</v>
      </c>
      <c r="T17" s="24">
        <f t="shared" ref="T17:T40" si="5">(H17-H$13)*($N17^$N$15)</f>
        <v>0.2300642580143841</v>
      </c>
      <c r="U17" s="24">
        <f t="shared" ref="U17:U40" si="6">(I17-I$13)*($N17^$N$15)</f>
        <v>8.8568992716217029E-2</v>
      </c>
      <c r="V17" s="24">
        <f t="shared" ref="V17:V40" si="7">(J17-J$13)*($N17^$N$15)</f>
        <v>0.10608378966558379</v>
      </c>
      <c r="W17" s="24">
        <f t="shared" ref="W17:W40" si="8">(K17-K$13)*($N17^$N$15)</f>
        <v>0.17824376576864953</v>
      </c>
      <c r="X17" s="24">
        <f t="shared" ref="X17:X40" si="9">(L17-L$13)*($N17^$N$15)</f>
        <v>0.22074783727456432</v>
      </c>
    </row>
    <row r="18" spans="2:24" x14ac:dyDescent="0.2">
      <c r="B18" s="2">
        <v>50</v>
      </c>
      <c r="C18" s="24">
        <v>20.325873083863186</v>
      </c>
      <c r="D18" s="24">
        <v>16.304470897092262</v>
      </c>
      <c r="E18" s="24">
        <v>12.842081442522169</v>
      </c>
      <c r="F18" s="24">
        <v>9.9226246584728237</v>
      </c>
      <c r="G18" s="24">
        <v>7.4766119794168606</v>
      </c>
      <c r="H18" s="24">
        <v>5.4592677968224539</v>
      </c>
      <c r="I18" s="24">
        <v>3.6704907291820135</v>
      </c>
      <c r="J18" s="24">
        <v>2.6165873786994536</v>
      </c>
      <c r="K18" s="24">
        <v>1.7304888794869036</v>
      </c>
      <c r="L18" s="24">
        <v>1.1479571002005222</v>
      </c>
      <c r="N18" s="24">
        <f t="shared" ref="N18:N40" si="10">B18</f>
        <v>50</v>
      </c>
      <c r="O18" s="24">
        <f>(C18-C$13)*($N18^$N$15)</f>
        <v>1.2314294344995254</v>
      </c>
      <c r="P18" s="24">
        <f t="shared" si="1"/>
        <v>1.0165193516402347</v>
      </c>
      <c r="Q18" s="24">
        <f t="shared" si="2"/>
        <v>0.96171400197377122</v>
      </c>
      <c r="R18" s="24">
        <f t="shared" si="3"/>
        <v>0.96222783487246588</v>
      </c>
      <c r="S18" s="24">
        <f t="shared" si="4"/>
        <v>0.89420815600923342</v>
      </c>
      <c r="T18" s="24">
        <f t="shared" si="5"/>
        <v>0.72673159143527444</v>
      </c>
      <c r="U18" s="24">
        <f t="shared" si="6"/>
        <v>0.24142325845546778</v>
      </c>
      <c r="V18" s="24">
        <f t="shared" si="7"/>
        <v>0.28837951953327151</v>
      </c>
      <c r="W18" s="24">
        <f t="shared" si="8"/>
        <v>0.13716718725288723</v>
      </c>
      <c r="X18" s="24">
        <f t="shared" si="9"/>
        <v>9.0642084041937243E-2</v>
      </c>
    </row>
    <row r="19" spans="2:24" x14ac:dyDescent="0.2">
      <c r="B19" s="2">
        <v>75</v>
      </c>
      <c r="C19" s="24">
        <v>20.415831049041969</v>
      </c>
      <c r="D19" s="24">
        <v>16.448944898796064</v>
      </c>
      <c r="E19" s="24">
        <v>13.043459807492152</v>
      </c>
      <c r="F19" s="24">
        <v>10.113269966888192</v>
      </c>
      <c r="G19" s="24">
        <v>7.4935968691560539</v>
      </c>
      <c r="H19" s="24">
        <v>5.3993635119867216</v>
      </c>
      <c r="I19" s="24">
        <v>3.7752911076305677</v>
      </c>
      <c r="J19" s="24">
        <v>2.5641169280701099</v>
      </c>
      <c r="K19" s="24">
        <v>1.7063428969854371</v>
      </c>
      <c r="L19" s="24">
        <v>1.1356655530018251</v>
      </c>
      <c r="N19" s="24">
        <f t="shared" si="10"/>
        <v>75</v>
      </c>
      <c r="O19" s="24">
        <f>(C19-C$13)*($N19^$N$15)</f>
        <v>1.4209162802097957</v>
      </c>
      <c r="P19" s="24">
        <f t="shared" si="1"/>
        <v>1.2810651481327293</v>
      </c>
      <c r="Q19" s="24">
        <f t="shared" si="2"/>
        <v>1.3116217417032152</v>
      </c>
      <c r="R19" s="24">
        <f t="shared" si="3"/>
        <v>1.2956284852273836</v>
      </c>
      <c r="S19" s="24">
        <f t="shared" si="4"/>
        <v>0.95736611179514886</v>
      </c>
      <c r="T19" s="24">
        <f t="shared" si="5"/>
        <v>0.6645540600961567</v>
      </c>
      <c r="U19" s="24">
        <f t="shared" si="6"/>
        <v>0.41280045037672097</v>
      </c>
      <c r="V19" s="24">
        <f t="shared" si="7"/>
        <v>0.2195108116502279</v>
      </c>
      <c r="W19" s="24">
        <f t="shared" si="8"/>
        <v>0.10565956687063263</v>
      </c>
      <c r="X19" s="24">
        <f t="shared" si="9"/>
        <v>7.5464483687673833E-2</v>
      </c>
    </row>
    <row r="20" spans="2:24" x14ac:dyDescent="0.2">
      <c r="B20" s="2">
        <v>100</v>
      </c>
      <c r="C20" s="24">
        <v>19.841810692142854</v>
      </c>
      <c r="D20" s="24">
        <v>16.097114077276444</v>
      </c>
      <c r="E20" s="24">
        <v>12.338619926196225</v>
      </c>
      <c r="F20" s="24">
        <v>9.4727683999379302</v>
      </c>
      <c r="G20" s="24">
        <v>7.031389299085558</v>
      </c>
      <c r="H20" s="24">
        <v>4.8968626376518092</v>
      </c>
      <c r="I20" s="24">
        <v>3.7768288318777685</v>
      </c>
      <c r="J20" s="24">
        <v>2.3006639289060966</v>
      </c>
      <c r="K20" s="24">
        <v>1.6080238134326532</v>
      </c>
      <c r="L20" s="24">
        <v>1.1212343893789052</v>
      </c>
      <c r="N20" s="24">
        <f t="shared" si="10"/>
        <v>100</v>
      </c>
      <c r="O20" s="24">
        <f>(C20-C$13)*($N20^$N$15)</f>
        <v>0.55262619951866598</v>
      </c>
      <c r="P20" s="24">
        <f t="shared" si="1"/>
        <v>0.7608400531061269</v>
      </c>
      <c r="Q20" s="24">
        <f t="shared" si="2"/>
        <v>0.23280681597392675</v>
      </c>
      <c r="R20" s="24">
        <f t="shared" si="3"/>
        <v>0.31831613659208391</v>
      </c>
      <c r="S20" s="24">
        <f t="shared" si="4"/>
        <v>0.25275817640783799</v>
      </c>
      <c r="T20" s="24">
        <f t="shared" si="5"/>
        <v>-0.11246047408746898</v>
      </c>
      <c r="U20" s="24">
        <f t="shared" si="6"/>
        <v>0.42728557671334411</v>
      </c>
      <c r="V20" s="24">
        <f t="shared" si="7"/>
        <v>-0.19162740874159481</v>
      </c>
      <c r="W20" s="24">
        <f t="shared" si="8"/>
        <v>-4.7081898275290905E-2</v>
      </c>
      <c r="X20" s="24">
        <f t="shared" si="9"/>
        <v>5.4795137799845003E-2</v>
      </c>
    </row>
    <row r="21" spans="2:24" x14ac:dyDescent="0.2">
      <c r="B21" s="2">
        <v>125</v>
      </c>
      <c r="C21" s="24">
        <v>19.714118142464876</v>
      </c>
      <c r="D21" s="24">
        <v>15.747360803761886</v>
      </c>
      <c r="E21" s="24">
        <v>12.32769028304933</v>
      </c>
      <c r="F21" s="24">
        <v>9.1080156446106191</v>
      </c>
      <c r="G21" s="24">
        <v>6.7306515967039724</v>
      </c>
      <c r="H21" s="24">
        <v>4.9733620192357648</v>
      </c>
      <c r="I21" s="24">
        <v>3.2991915314661164</v>
      </c>
      <c r="J21" s="24">
        <v>2.4504246122741704</v>
      </c>
      <c r="K21" s="24">
        <v>1.6165894406707513</v>
      </c>
      <c r="L21" s="24">
        <v>1.0569717748814178</v>
      </c>
      <c r="N21" s="24">
        <f t="shared" si="10"/>
        <v>125</v>
      </c>
      <c r="O21" s="24">
        <f>(C21-C$13)*($N21^$N$15)</f>
        <v>0.35815053761608567</v>
      </c>
      <c r="P21" s="24">
        <f t="shared" si="1"/>
        <v>0.2111785978698881</v>
      </c>
      <c r="Q21" s="24">
        <f t="shared" si="2"/>
        <v>0.22034694601290958</v>
      </c>
      <c r="R21" s="24">
        <f t="shared" si="3"/>
        <v>-0.26563996075585239</v>
      </c>
      <c r="S21" s="24">
        <f t="shared" si="4"/>
        <v>-0.22893083043602475</v>
      </c>
      <c r="T21" s="24">
        <f t="shared" si="5"/>
        <v>8.9810621905158615E-3</v>
      </c>
      <c r="U21" s="24">
        <f t="shared" si="6"/>
        <v>-0.33715868798000442</v>
      </c>
      <c r="V21" s="24">
        <f t="shared" si="7"/>
        <v>4.6759123221651572E-2</v>
      </c>
      <c r="W21" s="24">
        <f t="shared" si="8"/>
        <v>-3.4262369617077577E-2</v>
      </c>
      <c r="X21" s="24">
        <f t="shared" si="9"/>
        <v>-4.8116030018182231E-2</v>
      </c>
    </row>
    <row r="22" spans="2:24" x14ac:dyDescent="0.2">
      <c r="B22" s="2">
        <v>150</v>
      </c>
      <c r="C22" s="24">
        <v>19.75685185262568</v>
      </c>
      <c r="D22" s="24">
        <v>15.98151990390199</v>
      </c>
      <c r="E22" s="24">
        <v>12.275216632518108</v>
      </c>
      <c r="F22" s="24">
        <v>9.3699175551967393</v>
      </c>
      <c r="G22" s="24">
        <v>6.8568872700303816</v>
      </c>
      <c r="H22" s="24">
        <v>4.8439742397599694</v>
      </c>
      <c r="I22" s="24">
        <v>3.3986416139786568</v>
      </c>
      <c r="J22" s="24">
        <v>2.2495252976287095</v>
      </c>
      <c r="K22" s="24">
        <v>1.4264644095364369</v>
      </c>
      <c r="L22" s="24">
        <v>0.95120913996302647</v>
      </c>
      <c r="N22" s="24">
        <f t="shared" si="10"/>
        <v>150</v>
      </c>
      <c r="O22" s="24">
        <f t="shared" ref="O18:O40" si="11">(C22-C$13)*($N22^$N$15)</f>
        <v>0.43527123285685398</v>
      </c>
      <c r="P22" s="24">
        <f t="shared" si="1"/>
        <v>0.60153804931894861</v>
      </c>
      <c r="Q22" s="24">
        <f t="shared" si="2"/>
        <v>0.13779470899393045</v>
      </c>
      <c r="R22" s="24">
        <f t="shared" si="3"/>
        <v>0.16173516025508186</v>
      </c>
      <c r="S22" s="24">
        <f t="shared" si="4"/>
        <v>-2.4794107761684635E-2</v>
      </c>
      <c r="T22" s="24">
        <f t="shared" si="5"/>
        <v>-0.20440507350265172</v>
      </c>
      <c r="U22" s="24">
        <f t="shared" si="6"/>
        <v>-0.17922225623125995</v>
      </c>
      <c r="V22" s="24">
        <f t="shared" si="7"/>
        <v>-0.28395996842531041</v>
      </c>
      <c r="W22" s="24">
        <f t="shared" si="8"/>
        <v>-0.34868951342204541</v>
      </c>
      <c r="X22" s="24">
        <f t="shared" si="9"/>
        <v>-0.22355999036596252</v>
      </c>
    </row>
    <row r="23" spans="2:24" x14ac:dyDescent="0.2">
      <c r="B23" s="2">
        <v>175</v>
      </c>
      <c r="C23" s="24">
        <v>20.297321689453248</v>
      </c>
      <c r="D23" s="24">
        <v>16.322025340676468</v>
      </c>
      <c r="E23" s="24">
        <v>12.982949871092835</v>
      </c>
      <c r="F23" s="24">
        <v>9.6968556651342102</v>
      </c>
      <c r="G23" s="24">
        <v>7.3011675063419936</v>
      </c>
      <c r="H23" s="24">
        <v>5.3582697490347018</v>
      </c>
      <c r="I23" s="24">
        <v>3.6468551330632608</v>
      </c>
      <c r="J23" s="24">
        <v>2.6026929482007883</v>
      </c>
      <c r="K23" s="24">
        <v>1.5513584449985616</v>
      </c>
      <c r="L23" s="24">
        <v>1.1090301496568935</v>
      </c>
      <c r="N23" s="24">
        <f t="shared" si="10"/>
        <v>175</v>
      </c>
      <c r="O23" s="24">
        <f t="shared" si="11"/>
        <v>1.3479225349667978</v>
      </c>
      <c r="P23" s="24">
        <f t="shared" si="1"/>
        <v>1.1816088977856121</v>
      </c>
      <c r="Q23" s="24">
        <f t="shared" si="2"/>
        <v>1.326177555680323</v>
      </c>
      <c r="R23" s="24">
        <f t="shared" si="3"/>
        <v>0.71223349420857163</v>
      </c>
      <c r="S23" s="24">
        <f t="shared" si="4"/>
        <v>0.7194854831775801</v>
      </c>
      <c r="T23" s="24">
        <f t="shared" si="5"/>
        <v>0.6544379992687066</v>
      </c>
      <c r="U23" s="24">
        <f t="shared" si="6"/>
        <v>0.23402801190812256</v>
      </c>
      <c r="V23" s="24">
        <f t="shared" si="7"/>
        <v>0.30357844337706597</v>
      </c>
      <c r="W23" s="24">
        <f t="shared" si="8"/>
        <v>-0.14476946576144237</v>
      </c>
      <c r="X23" s="24">
        <f t="shared" si="9"/>
        <v>3.7493275412362644E-2</v>
      </c>
    </row>
    <row r="24" spans="2:24" x14ac:dyDescent="0.2">
      <c r="B24" s="2">
        <v>200</v>
      </c>
      <c r="C24" s="24">
        <v>20.510584616952286</v>
      </c>
      <c r="D24" s="24">
        <v>16.400718165826525</v>
      </c>
      <c r="E24" s="24">
        <v>12.907613284044652</v>
      </c>
      <c r="F24" s="24">
        <v>9.7463379032851218</v>
      </c>
      <c r="G24" s="24">
        <v>7.4045875826987428</v>
      </c>
      <c r="H24" s="24">
        <v>5.1858433641695605</v>
      </c>
      <c r="I24" s="24">
        <v>3.4484316482955291</v>
      </c>
      <c r="J24" s="24">
        <v>2.282508555358592</v>
      </c>
      <c r="K24" s="24">
        <v>1.463106441312394</v>
      </c>
      <c r="L24" s="24">
        <v>0.85845226653468243</v>
      </c>
      <c r="N24" s="24">
        <f t="shared" si="10"/>
        <v>200</v>
      </c>
      <c r="O24" s="24">
        <f t="shared" si="11"/>
        <v>1.7283005583635052</v>
      </c>
      <c r="P24" s="24">
        <f t="shared" si="1"/>
        <v>1.3311641898179487</v>
      </c>
      <c r="Q24" s="24">
        <f t="shared" si="2"/>
        <v>1.2160347229680251</v>
      </c>
      <c r="R24" s="24">
        <f t="shared" si="3"/>
        <v>0.80586065758892733</v>
      </c>
      <c r="S24" s="24">
        <f t="shared" si="4"/>
        <v>0.90483145098009332</v>
      </c>
      <c r="T24" s="24">
        <f t="shared" si="5"/>
        <v>0.3703439377356148</v>
      </c>
      <c r="U24" s="24">
        <f t="shared" si="6"/>
        <v>-9.9877372841937234E-2</v>
      </c>
      <c r="V24" s="24">
        <f t="shared" si="7"/>
        <v>-0.23622073247441946</v>
      </c>
      <c r="W24" s="24">
        <f t="shared" si="8"/>
        <v>-0.29662451095345405</v>
      </c>
      <c r="X24" s="24">
        <f t="shared" si="9"/>
        <v>-0.38764594936852825</v>
      </c>
    </row>
    <row r="25" spans="2:24" x14ac:dyDescent="0.2">
      <c r="B25" s="2">
        <v>250</v>
      </c>
      <c r="C25" s="24">
        <v>20.334806327155725</v>
      </c>
      <c r="D25" s="24">
        <v>16.309956840091768</v>
      </c>
      <c r="E25" s="24">
        <v>12.768905868557438</v>
      </c>
      <c r="F25" s="24">
        <v>9.7312272280537719</v>
      </c>
      <c r="G25" s="24">
        <v>7.4110928181070062</v>
      </c>
      <c r="H25" s="24">
        <v>5.2348312745607961</v>
      </c>
      <c r="I25" s="24">
        <v>3.5971005897110317</v>
      </c>
      <c r="J25" s="24">
        <v>2.338626833374073</v>
      </c>
      <c r="K25" s="24">
        <v>1.4137797693905385</v>
      </c>
      <c r="L25" s="24">
        <v>0.92619870472514931</v>
      </c>
      <c r="N25" s="24">
        <f t="shared" si="10"/>
        <v>250</v>
      </c>
      <c r="O25" s="24">
        <f t="shared" si="11"/>
        <v>1.4619771765817069</v>
      </c>
      <c r="P25" s="24">
        <f t="shared" si="1"/>
        <v>1.2035518417965965</v>
      </c>
      <c r="Q25" s="24">
        <f t="shared" si="2"/>
        <v>1.002543215207822</v>
      </c>
      <c r="R25" s="24">
        <f t="shared" si="3"/>
        <v>0.79779815916323937</v>
      </c>
      <c r="S25" s="24">
        <f t="shared" si="4"/>
        <v>0.93654858040248667</v>
      </c>
      <c r="T25" s="24">
        <f t="shared" si="5"/>
        <v>0.46379167681157074</v>
      </c>
      <c r="U25" s="24">
        <f t="shared" si="6"/>
        <v>0.15610336804837432</v>
      </c>
      <c r="V25" s="24">
        <f t="shared" si="7"/>
        <v>-0.14407495326287964</v>
      </c>
      <c r="W25" s="24">
        <f t="shared" si="8"/>
        <v>-0.38899717860204636</v>
      </c>
      <c r="X25" s="24">
        <f t="shared" si="9"/>
        <v>-0.27871926415845849</v>
      </c>
    </row>
    <row r="26" spans="2:24" x14ac:dyDescent="0.2">
      <c r="B26" s="2">
        <v>300</v>
      </c>
      <c r="C26" s="24">
        <v>19.957788047014883</v>
      </c>
      <c r="D26" s="24">
        <v>15.94945661528665</v>
      </c>
      <c r="E26" s="24">
        <v>12.501234174888483</v>
      </c>
      <c r="F26" s="24">
        <v>9.5195305749340697</v>
      </c>
      <c r="G26" s="24">
        <v>7.1554863934700776</v>
      </c>
      <c r="H26" s="24">
        <v>5.2914308250834985</v>
      </c>
      <c r="I26" s="24">
        <v>3.7094897695502085</v>
      </c>
      <c r="J26" s="24">
        <v>2.486388060821918</v>
      </c>
      <c r="K26" s="24">
        <v>1.7855574355575445</v>
      </c>
      <c r="L26" s="24">
        <v>1.118559919992369</v>
      </c>
      <c r="N26" s="24">
        <f t="shared" si="10"/>
        <v>300</v>
      </c>
      <c r="O26" s="24">
        <f t="shared" si="11"/>
        <v>0.82195542845354541</v>
      </c>
      <c r="P26" s="24">
        <f t="shared" si="1"/>
        <v>0.58799461179935364</v>
      </c>
      <c r="Q26" s="24">
        <f t="shared" si="2"/>
        <v>0.54749528433566674</v>
      </c>
      <c r="R26" s="24">
        <f t="shared" si="3"/>
        <v>0.43799931246576634</v>
      </c>
      <c r="S26" s="24">
        <f t="shared" si="4"/>
        <v>0.50162907840832904</v>
      </c>
      <c r="T26" s="24">
        <f t="shared" si="5"/>
        <v>0.57244613798935629</v>
      </c>
      <c r="U26" s="24">
        <f t="shared" si="6"/>
        <v>0.3577848411640116</v>
      </c>
      <c r="V26" s="24">
        <f t="shared" si="7"/>
        <v>0.1146543151406792</v>
      </c>
      <c r="W26" s="24">
        <f t="shared" si="8"/>
        <v>0.26149642127945666</v>
      </c>
      <c r="X26" s="24">
        <f t="shared" si="9"/>
        <v>5.6427157889288246E-2</v>
      </c>
    </row>
    <row r="27" spans="2:24" x14ac:dyDescent="0.2">
      <c r="B27" s="2">
        <v>350</v>
      </c>
      <c r="C27" s="24">
        <v>20.378230473938725</v>
      </c>
      <c r="D27" s="24">
        <v>16.331542634307048</v>
      </c>
      <c r="E27" s="24">
        <v>12.81118118966323</v>
      </c>
      <c r="F27" s="24">
        <v>9.8338187945075841</v>
      </c>
      <c r="G27" s="24">
        <v>7.4631180110084241</v>
      </c>
      <c r="H27" s="24">
        <v>5.5165536220800453</v>
      </c>
      <c r="I27" s="24">
        <v>3.8652148170961191</v>
      </c>
      <c r="J27" s="24">
        <v>2.5127587744399791</v>
      </c>
      <c r="K27" s="24">
        <v>1.7086182962692216</v>
      </c>
      <c r="L27" s="24">
        <v>1.1754680165552549</v>
      </c>
      <c r="N27" s="24">
        <f t="shared" si="10"/>
        <v>350</v>
      </c>
      <c r="O27" s="24">
        <f t="shared" si="11"/>
        <v>1.5900134006850479</v>
      </c>
      <c r="P27" s="24">
        <f t="shared" si="1"/>
        <v>1.2835140739648845</v>
      </c>
      <c r="Q27" s="24">
        <f t="shared" si="2"/>
        <v>1.1127939813756067</v>
      </c>
      <c r="R27" s="24">
        <f t="shared" si="3"/>
        <v>1.0093956528801644</v>
      </c>
      <c r="S27" s="24">
        <f t="shared" si="4"/>
        <v>1.0620558516056053</v>
      </c>
      <c r="T27" s="24">
        <f t="shared" si="5"/>
        <v>0.98575289050648685</v>
      </c>
      <c r="U27" s="24">
        <f t="shared" si="6"/>
        <v>0.64308974338699132</v>
      </c>
      <c r="V27" s="24">
        <f t="shared" si="7"/>
        <v>0.16380817166539924</v>
      </c>
      <c r="W27" s="24">
        <f t="shared" si="8"/>
        <v>0.12734396979211174</v>
      </c>
      <c r="X27" s="24">
        <f t="shared" si="9"/>
        <v>0.15953431446386568</v>
      </c>
    </row>
    <row r="28" spans="2:24" x14ac:dyDescent="0.2">
      <c r="B28" s="2">
        <v>400</v>
      </c>
      <c r="C28" s="24">
        <v>19.582104172823243</v>
      </c>
      <c r="D28" s="24">
        <v>16.439131171118664</v>
      </c>
      <c r="E28" s="24">
        <v>12.981016601829639</v>
      </c>
      <c r="F28" s="24">
        <v>9.7366554083678594</v>
      </c>
      <c r="G28" s="24">
        <v>7.2576119248710569</v>
      </c>
      <c r="H28" s="24">
        <v>5.056209918969131</v>
      </c>
      <c r="I28" s="24">
        <v>3.7640661310756078</v>
      </c>
      <c r="J28" s="24">
        <v>2.438963905296176</v>
      </c>
      <c r="K28" s="24">
        <v>1.6571475567772784</v>
      </c>
      <c r="L28" s="24">
        <v>1.1240497345315115</v>
      </c>
      <c r="N28" s="24">
        <f t="shared" si="10"/>
        <v>400</v>
      </c>
      <c r="O28" s="24">
        <f t="shared" si="11"/>
        <v>0.16198841394957023</v>
      </c>
      <c r="P28" s="24">
        <f t="shared" si="1"/>
        <v>1.4966397952910211</v>
      </c>
      <c r="Q28" s="24">
        <f t="shared" si="2"/>
        <v>1.4369491983424965</v>
      </c>
      <c r="R28" s="24">
        <f t="shared" si="3"/>
        <v>0.84607246366350886</v>
      </c>
      <c r="S28" s="24">
        <f t="shared" si="4"/>
        <v>0.70219571587137786</v>
      </c>
      <c r="T28" s="24">
        <f t="shared" si="5"/>
        <v>0.16091879462938025</v>
      </c>
      <c r="U28" s="24">
        <f t="shared" si="6"/>
        <v>0.46758692287023174</v>
      </c>
      <c r="V28" s="24">
        <f t="shared" si="7"/>
        <v>3.1661897101316228E-2</v>
      </c>
      <c r="W28" s="24">
        <f t="shared" si="8"/>
        <v>3.5350029552900925E-2</v>
      </c>
      <c r="X28" s="24">
        <f t="shared" si="9"/>
        <v>6.8068601256515801E-2</v>
      </c>
    </row>
    <row r="29" spans="2:24" x14ac:dyDescent="0.2">
      <c r="B29" s="2">
        <v>450</v>
      </c>
      <c r="C29" s="24">
        <v>19.948283913732507</v>
      </c>
      <c r="D29" s="24">
        <v>16.169837331306528</v>
      </c>
      <c r="E29" s="24">
        <v>12.623958889196363</v>
      </c>
      <c r="F29" s="24">
        <v>9.7446059926022315</v>
      </c>
      <c r="G29" s="24">
        <v>7.4217778564805741</v>
      </c>
      <c r="H29" s="24">
        <v>5.1478643110323539</v>
      </c>
      <c r="I29" s="24">
        <v>3.6705870622015118</v>
      </c>
      <c r="J29" s="24">
        <v>2.6070341772961676</v>
      </c>
      <c r="K29" s="24">
        <v>1.8695891177343902</v>
      </c>
      <c r="L29" s="24">
        <v>1.2425210042194625</v>
      </c>
      <c r="N29" s="24">
        <f t="shared" si="10"/>
        <v>450</v>
      </c>
      <c r="O29" s="24">
        <f t="shared" si="11"/>
        <v>0.83845984526421224</v>
      </c>
      <c r="P29" s="24">
        <f t="shared" si="1"/>
        <v>1.0182965191133788</v>
      </c>
      <c r="Q29" s="24">
        <f t="shared" si="2"/>
        <v>0.79622588510407777</v>
      </c>
      <c r="R29" s="24">
        <f t="shared" si="3"/>
        <v>0.87074272287737964</v>
      </c>
      <c r="S29" s="24">
        <f t="shared" si="4"/>
        <v>1.0129309564916409</v>
      </c>
      <c r="T29" s="24">
        <f t="shared" si="5"/>
        <v>0.33166503571420974</v>
      </c>
      <c r="U29" s="24">
        <f t="shared" si="6"/>
        <v>0.30092588094481038</v>
      </c>
      <c r="V29" s="24">
        <f t="shared" si="7"/>
        <v>0.3416450113814215</v>
      </c>
      <c r="W29" s="24">
        <f t="shared" si="8"/>
        <v>0.42711470683834474</v>
      </c>
      <c r="X29" s="24">
        <f t="shared" si="9"/>
        <v>0.2871150445405411</v>
      </c>
    </row>
    <row r="30" spans="2:24" x14ac:dyDescent="0.2">
      <c r="B30" s="2">
        <v>500</v>
      </c>
      <c r="C30" s="24">
        <v>20.051106556867271</v>
      </c>
      <c r="D30" s="24">
        <v>16.190988081644555</v>
      </c>
      <c r="E30" s="24">
        <v>12.717548135445581</v>
      </c>
      <c r="F30" s="24">
        <v>9.6313283633784099</v>
      </c>
      <c r="G30" s="24">
        <v>7.107716252606628</v>
      </c>
      <c r="H30" s="24">
        <v>4.957243971417328</v>
      </c>
      <c r="I30" s="24">
        <v>3.1066021899896996</v>
      </c>
      <c r="J30" s="24">
        <v>2.4037337942893426</v>
      </c>
      <c r="K30" s="24">
        <v>1.8077777229648542</v>
      </c>
      <c r="L30" s="24">
        <v>1.2097865037827404</v>
      </c>
      <c r="N30" s="24">
        <f t="shared" si="10"/>
        <v>500</v>
      </c>
      <c r="O30" s="24">
        <f t="shared" si="11"/>
        <v>1.0387599210808383</v>
      </c>
      <c r="P30" s="24">
        <f t="shared" si="1"/>
        <v>1.0684572630928193</v>
      </c>
      <c r="Q30" s="24">
        <f t="shared" si="2"/>
        <v>0.97888931694538872</v>
      </c>
      <c r="R30" s="24">
        <f t="shared" si="3"/>
        <v>0.66908261691660142</v>
      </c>
      <c r="S30" s="24">
        <f t="shared" si="4"/>
        <v>0.43898827666636697</v>
      </c>
      <c r="T30" s="24">
        <f t="shared" si="5"/>
        <v>-1.9689560899649478E-2</v>
      </c>
      <c r="U30" s="24">
        <f t="shared" si="6"/>
        <v>-0.74582672399652117</v>
      </c>
      <c r="V30" s="24">
        <f t="shared" si="7"/>
        <v>-3.3209626378251457E-2</v>
      </c>
      <c r="W30" s="24">
        <f t="shared" si="8"/>
        <v>0.31656769050814459</v>
      </c>
      <c r="X30" s="24">
        <f t="shared" si="9"/>
        <v>0.22921605804496623</v>
      </c>
    </row>
    <row r="31" spans="2:24" x14ac:dyDescent="0.2">
      <c r="B31" s="2">
        <v>600</v>
      </c>
      <c r="C31" s="24">
        <v>20.118064467166015</v>
      </c>
      <c r="D31" s="24">
        <v>15.952535210995512</v>
      </c>
      <c r="E31" s="24">
        <v>12.223469055250739</v>
      </c>
      <c r="F31" s="24">
        <v>9.820238505248799</v>
      </c>
      <c r="G31" s="24">
        <v>7.0406510333295973</v>
      </c>
      <c r="H31" s="24">
        <v>5.504172203517105</v>
      </c>
      <c r="I31" s="24">
        <v>3.9148955292443151</v>
      </c>
      <c r="J31" s="24">
        <v>2.5632445336887706</v>
      </c>
      <c r="K31" s="24">
        <v>1.5738433505009517</v>
      </c>
      <c r="L31" s="24">
        <v>1.0839422874495013</v>
      </c>
      <c r="N31" s="24">
        <f t="shared" si="10"/>
        <v>600</v>
      </c>
      <c r="O31" s="24">
        <f t="shared" si="11"/>
        <v>1.1848178695918756</v>
      </c>
      <c r="P31" s="24">
        <f t="shared" si="1"/>
        <v>0.63603372659285784</v>
      </c>
      <c r="Q31" s="24">
        <f t="shared" si="2"/>
        <v>6.0176391924356303E-2</v>
      </c>
      <c r="R31" s="24">
        <f t="shared" si="3"/>
        <v>1.039547808962489</v>
      </c>
      <c r="S31" s="24">
        <f t="shared" si="4"/>
        <v>0.31991652614558702</v>
      </c>
      <c r="T31" s="24">
        <f t="shared" si="5"/>
        <v>1.0168686787625942</v>
      </c>
      <c r="U31" s="24">
        <f t="shared" si="6"/>
        <v>0.77289280747944755</v>
      </c>
      <c r="V31" s="24">
        <f t="shared" si="7"/>
        <v>0.26859553807276471</v>
      </c>
      <c r="W31" s="24">
        <f t="shared" si="8"/>
        <v>-0.12112353029745847</v>
      </c>
      <c r="X31" s="24">
        <f t="shared" si="9"/>
        <v>-5.1543935776771597E-3</v>
      </c>
    </row>
    <row r="32" spans="2:24" x14ac:dyDescent="0.2">
      <c r="B32" s="2">
        <v>700</v>
      </c>
      <c r="C32" s="24">
        <v>19.611871584423032</v>
      </c>
      <c r="D32" s="24">
        <v>14.875567558999835</v>
      </c>
      <c r="E32" s="24">
        <v>12.684660487806239</v>
      </c>
      <c r="F32" s="24">
        <v>9.7172872007350524</v>
      </c>
      <c r="G32" s="24">
        <v>7.2930686445704103</v>
      </c>
      <c r="H32" s="24">
        <v>5.4066203124614498</v>
      </c>
      <c r="I32" s="24">
        <v>4.093987907137234</v>
      </c>
      <c r="J32" s="24">
        <v>2.876792491508684</v>
      </c>
      <c r="K32" s="24">
        <v>1.9971322210874296</v>
      </c>
      <c r="L32" s="24">
        <v>1.1099080473049689</v>
      </c>
      <c r="N32" s="24">
        <f t="shared" si="10"/>
        <v>700</v>
      </c>
      <c r="O32" s="24">
        <f t="shared" si="11"/>
        <v>0.22862469030597032</v>
      </c>
      <c r="P32" s="24">
        <f t="shared" si="1"/>
        <v>-1.4276260283440079</v>
      </c>
      <c r="Q32" s="24">
        <f t="shared" si="2"/>
        <v>0.94906636085188145</v>
      </c>
      <c r="R32" s="24">
        <f t="shared" si="3"/>
        <v>0.85747931062976879</v>
      </c>
      <c r="S32" s="24">
        <f t="shared" si="4"/>
        <v>0.81087864334011406</v>
      </c>
      <c r="T32" s="24">
        <f t="shared" si="5"/>
        <v>0.84484363508764238</v>
      </c>
      <c r="U32" s="24">
        <f t="shared" si="6"/>
        <v>1.129714906234069</v>
      </c>
      <c r="V32" s="24">
        <f t="shared" si="7"/>
        <v>0.87645775360827749</v>
      </c>
      <c r="W32" s="24">
        <f t="shared" si="8"/>
        <v>0.6919743192963359</v>
      </c>
      <c r="X32" s="24">
        <f t="shared" si="9"/>
        <v>4.475872447276797E-2</v>
      </c>
    </row>
    <row r="33" spans="2:24" x14ac:dyDescent="0.2">
      <c r="B33" s="2">
        <v>800</v>
      </c>
      <c r="C33" s="24">
        <v>20.225776911680928</v>
      </c>
      <c r="D33" s="24">
        <v>15.887584209526409</v>
      </c>
      <c r="E33" s="24">
        <v>12.994188031345056</v>
      </c>
      <c r="F33" s="24">
        <v>10.19793194595416</v>
      </c>
      <c r="G33" s="24">
        <v>7.6006548196987591</v>
      </c>
      <c r="H33" s="24">
        <v>5.5368259244625246</v>
      </c>
      <c r="I33" s="24">
        <v>4.1467401818362291</v>
      </c>
      <c r="J33" s="24">
        <v>3.0040200542312867</v>
      </c>
      <c r="K33" s="24">
        <v>2.0547839645651047</v>
      </c>
      <c r="L33" s="24">
        <v>1.4290887662576279</v>
      </c>
      <c r="N33" s="24">
        <f t="shared" si="10"/>
        <v>800</v>
      </c>
      <c r="O33" s="24">
        <f t="shared" si="11"/>
        <v>1.4295699861380589</v>
      </c>
      <c r="P33" s="24">
        <f t="shared" si="1"/>
        <v>0.52786251418306085</v>
      </c>
      <c r="Q33" s="24">
        <f t="shared" si="2"/>
        <v>1.5657845378164348</v>
      </c>
      <c r="R33" s="24">
        <f t="shared" si="3"/>
        <v>1.8068557392725766</v>
      </c>
      <c r="S33" s="24">
        <f t="shared" si="4"/>
        <v>1.4219511446340904</v>
      </c>
      <c r="T33" s="24">
        <f t="shared" si="5"/>
        <v>1.1102620154146745</v>
      </c>
      <c r="U33" s="24">
        <f t="shared" si="6"/>
        <v>1.2478332617095613</v>
      </c>
      <c r="V33" s="24">
        <f t="shared" si="7"/>
        <v>1.1364902465086315</v>
      </c>
      <c r="W33" s="24">
        <f t="shared" si="8"/>
        <v>0.81376826572948202</v>
      </c>
      <c r="X33" s="24">
        <f t="shared" si="9"/>
        <v>0.66815616231961195</v>
      </c>
    </row>
    <row r="34" spans="2:24" x14ac:dyDescent="0.2">
      <c r="B34" s="2">
        <v>900</v>
      </c>
      <c r="C34" s="24">
        <v>20.167795504928691</v>
      </c>
      <c r="D34" s="24">
        <v>16.119884794054094</v>
      </c>
      <c r="E34" s="24">
        <v>12.595718478860327</v>
      </c>
      <c r="F34" s="24">
        <v>9.6605586614615486</v>
      </c>
      <c r="G34" s="24">
        <v>6.9168067603154491</v>
      </c>
      <c r="H34" s="24">
        <v>4.9244172448535632</v>
      </c>
      <c r="I34" s="24">
        <v>3.6269786668854245</v>
      </c>
      <c r="J34" s="24">
        <v>2.5462625817345521</v>
      </c>
      <c r="K34" s="24">
        <v>1.6384203915095139</v>
      </c>
      <c r="L34" s="24">
        <v>1.2227088525601262</v>
      </c>
      <c r="N34" s="24">
        <f t="shared" si="10"/>
        <v>900</v>
      </c>
      <c r="O34" s="24">
        <f t="shared" si="11"/>
        <v>1.3320318282810302</v>
      </c>
      <c r="P34" s="24">
        <f t="shared" si="1"/>
        <v>0.99275936998577607</v>
      </c>
      <c r="Q34" s="24">
        <f t="shared" si="2"/>
        <v>0.79761730597189562</v>
      </c>
      <c r="R34" s="24">
        <f t="shared" si="3"/>
        <v>0.767300054005842</v>
      </c>
      <c r="S34" s="24">
        <f t="shared" si="4"/>
        <v>8.864258950308905E-2</v>
      </c>
      <c r="T34" s="24">
        <f t="shared" si="5"/>
        <v>-8.5693039938818494E-2</v>
      </c>
      <c r="U34" s="24">
        <f t="shared" si="6"/>
        <v>0.23642611690820997</v>
      </c>
      <c r="V34" s="24">
        <f t="shared" si="7"/>
        <v>0.2461816275844847</v>
      </c>
      <c r="W34" s="24">
        <f t="shared" si="8"/>
        <v>1.3621213164056044E-3</v>
      </c>
      <c r="X34" s="24">
        <f t="shared" si="9"/>
        <v>0.2686061541794339</v>
      </c>
    </row>
    <row r="35" spans="2:24" x14ac:dyDescent="0.2">
      <c r="B35" s="2">
        <v>1000</v>
      </c>
      <c r="C35" s="24">
        <v>20.359851965070831</v>
      </c>
      <c r="D35" s="24">
        <v>16.458315731807705</v>
      </c>
      <c r="E35" s="24">
        <v>12.810274853769842</v>
      </c>
      <c r="F35" s="24">
        <v>9.83881918967956</v>
      </c>
      <c r="G35" s="24">
        <v>7.439802989026572</v>
      </c>
      <c r="H35" s="24">
        <v>5.6092521371509481</v>
      </c>
      <c r="I35" s="24">
        <v>4.0404206907968838</v>
      </c>
      <c r="J35" s="24">
        <v>2.9515369147943766</v>
      </c>
      <c r="K35" s="24">
        <v>1.9308891559944095</v>
      </c>
      <c r="L35" s="24">
        <v>1.3277420997790936</v>
      </c>
      <c r="N35" s="24">
        <f t="shared" si="10"/>
        <v>1000</v>
      </c>
      <c r="O35" s="24">
        <f t="shared" si="11"/>
        <v>1.7293433952689834</v>
      </c>
      <c r="P35" s="24">
        <f t="shared" si="1"/>
        <v>1.6785329265567595</v>
      </c>
      <c r="Q35" s="24">
        <f t="shared" si="2"/>
        <v>1.234161719325479</v>
      </c>
      <c r="R35" s="24">
        <f t="shared" si="3"/>
        <v>1.1311036194759887</v>
      </c>
      <c r="S35" s="24">
        <f t="shared" si="4"/>
        <v>1.13309613577527</v>
      </c>
      <c r="T35" s="24">
        <f t="shared" si="5"/>
        <v>1.2798245732790392</v>
      </c>
      <c r="U35" s="24">
        <f t="shared" si="6"/>
        <v>1.0638555732514592</v>
      </c>
      <c r="V35" s="24">
        <f t="shared" si="7"/>
        <v>1.057417726113095</v>
      </c>
      <c r="W35" s="24">
        <f t="shared" si="8"/>
        <v>0.58492845264871851</v>
      </c>
      <c r="X35" s="24">
        <f t="shared" si="9"/>
        <v>0.481020043730991</v>
      </c>
    </row>
    <row r="36" spans="2:24" x14ac:dyDescent="0.2">
      <c r="B36" s="2">
        <v>1500</v>
      </c>
      <c r="C36" s="24">
        <v>20.112755923751877</v>
      </c>
      <c r="D36" s="24">
        <v>16.358594778902312</v>
      </c>
      <c r="E36" s="24">
        <v>12.841648694145265</v>
      </c>
      <c r="F36" s="24">
        <v>9.61827379679427</v>
      </c>
      <c r="G36" s="24">
        <v>7.1339681764113383</v>
      </c>
      <c r="H36" s="24">
        <v>4.6479516819770996</v>
      </c>
      <c r="I36" s="24">
        <v>3.6057972890913512</v>
      </c>
      <c r="J36" s="24">
        <v>2.3290412778523892</v>
      </c>
      <c r="K36" s="24">
        <v>1.6267369013574646</v>
      </c>
      <c r="L36" s="24">
        <v>1.1332298114045678</v>
      </c>
      <c r="N36" s="24">
        <f t="shared" si="10"/>
        <v>1500</v>
      </c>
      <c r="O36" s="24">
        <f t="shared" si="11"/>
        <v>1.2874806627000321</v>
      </c>
      <c r="P36" s="24">
        <f t="shared" si="1"/>
        <v>1.540787424705591</v>
      </c>
      <c r="Q36" s="24">
        <f t="shared" si="2"/>
        <v>1.3504203889996789</v>
      </c>
      <c r="R36" s="24">
        <f t="shared" si="3"/>
        <v>0.71965349936589473</v>
      </c>
      <c r="S36" s="24">
        <f t="shared" si="4"/>
        <v>0.54451191221497119</v>
      </c>
      <c r="T36" s="24">
        <f t="shared" si="5"/>
        <v>-0.66463146119140959</v>
      </c>
      <c r="U36" s="24">
        <f t="shared" si="6"/>
        <v>0.20480594509385486</v>
      </c>
      <c r="V36" s="24">
        <f t="shared" si="7"/>
        <v>-0.1922640682410803</v>
      </c>
      <c r="W36" s="24">
        <f t="shared" si="8"/>
        <v>-2.2842746996374275E-2</v>
      </c>
      <c r="X36" s="24">
        <f t="shared" si="9"/>
        <v>9.6761886815855194E-2</v>
      </c>
    </row>
    <row r="37" spans="2:24" x14ac:dyDescent="0.2">
      <c r="B37" s="2">
        <v>2000</v>
      </c>
      <c r="C37" s="24">
        <v>20.081970637299197</v>
      </c>
      <c r="D37" s="24">
        <v>16.004324595690534</v>
      </c>
      <c r="E37" s="24">
        <v>12.901404901577102</v>
      </c>
      <c r="F37" s="24">
        <v>9.971387955022216</v>
      </c>
      <c r="G37" s="24">
        <v>7.5340051265242236</v>
      </c>
      <c r="H37" s="24">
        <v>5.2577896518429075</v>
      </c>
      <c r="I37" s="24">
        <v>3.6630436756762137</v>
      </c>
      <c r="J37" s="24">
        <v>2.1583904319582974</v>
      </c>
      <c r="K37" s="24">
        <v>1.3668878461028087</v>
      </c>
      <c r="L37" s="24">
        <v>0.96605882861369219</v>
      </c>
      <c r="N37" s="24">
        <f t="shared" si="10"/>
        <v>2000</v>
      </c>
      <c r="O37" s="24">
        <f t="shared" si="11"/>
        <v>1.2592236979718601</v>
      </c>
      <c r="P37" s="24">
        <f t="shared" si="1"/>
        <v>0.82816098502533853</v>
      </c>
      <c r="Q37" s="24">
        <f t="shared" si="2"/>
        <v>1.5176205796799607</v>
      </c>
      <c r="R37" s="24">
        <f t="shared" si="3"/>
        <v>1.4957810642980749</v>
      </c>
      <c r="S37" s="24">
        <f t="shared" si="4"/>
        <v>1.4158707384375879</v>
      </c>
      <c r="T37" s="24">
        <f t="shared" si="5"/>
        <v>0.62009031456180663</v>
      </c>
      <c r="U37" s="24">
        <f t="shared" si="6"/>
        <v>0.33320304776541304</v>
      </c>
      <c r="V37" s="24">
        <f t="shared" si="7"/>
        <v>-0.56280706695582017</v>
      </c>
      <c r="W37" s="24">
        <f t="shared" si="8"/>
        <v>-0.57918863692159062</v>
      </c>
      <c r="X37" s="24">
        <f t="shared" si="9"/>
        <v>-0.25790401771716143</v>
      </c>
    </row>
    <row r="38" spans="2:24" x14ac:dyDescent="0.2">
      <c r="B38" s="2">
        <v>3000</v>
      </c>
      <c r="C38" s="24">
        <v>20.069390885401056</v>
      </c>
      <c r="D38" s="24">
        <v>15.983852195394697</v>
      </c>
      <c r="E38" s="24">
        <v>12.332766475778454</v>
      </c>
      <c r="F38" s="24">
        <v>9.4030865575275531</v>
      </c>
      <c r="G38" s="24">
        <v>7.1597575385235883</v>
      </c>
      <c r="H38" s="24">
        <v>5.2708941434194472</v>
      </c>
      <c r="I38" s="24">
        <v>3.1715093609776037</v>
      </c>
      <c r="J38" s="24">
        <v>1.9183940446146297</v>
      </c>
      <c r="K38" s="24">
        <v>1.533850386064556</v>
      </c>
      <c r="L38" s="24">
        <v>1.1930246533960005</v>
      </c>
      <c r="N38" s="24">
        <f t="shared" si="10"/>
        <v>3000</v>
      </c>
      <c r="O38" s="24">
        <f t="shared" si="11"/>
        <v>1.2833154667048512</v>
      </c>
      <c r="P38" s="24">
        <f t="shared" si="1"/>
        <v>0.81683888855192088</v>
      </c>
      <c r="Q38" s="24">
        <f t="shared" si="2"/>
        <v>0.31408515042914159</v>
      </c>
      <c r="R38" s="24">
        <f t="shared" si="3"/>
        <v>0.29209246954083573</v>
      </c>
      <c r="S38" s="24">
        <f t="shared" si="4"/>
        <v>0.6410252569190088</v>
      </c>
      <c r="T38" s="24">
        <f t="shared" si="5"/>
        <v>0.67493265204011121</v>
      </c>
      <c r="U38" s="24">
        <f t="shared" si="6"/>
        <v>-0.7476356195191205</v>
      </c>
      <c r="V38" s="24">
        <f t="shared" si="7"/>
        <v>-1.1205578759910082</v>
      </c>
      <c r="W38" s="24">
        <f t="shared" si="8"/>
        <v>-0.23133666555339502</v>
      </c>
      <c r="X38" s="24">
        <f t="shared" si="9"/>
        <v>0.2368674545823061</v>
      </c>
    </row>
    <row r="39" spans="2:24" x14ac:dyDescent="0.2">
      <c r="B39" s="2">
        <v>4000</v>
      </c>
      <c r="C39" s="24">
        <v>20.165317711515332</v>
      </c>
      <c r="D39" s="24">
        <v>16.164397413173486</v>
      </c>
      <c r="E39" s="24">
        <v>12.739532679023672</v>
      </c>
      <c r="F39" s="24">
        <v>9.6798535379268884</v>
      </c>
      <c r="G39" s="24">
        <v>7.0701827035203104</v>
      </c>
      <c r="H39" s="24">
        <v>5.4501019460587834</v>
      </c>
      <c r="I39" s="24">
        <v>3.747699915827519</v>
      </c>
      <c r="J39" s="24">
        <v>2.6179545026655529</v>
      </c>
      <c r="K39" s="24">
        <v>1.2675966135596888</v>
      </c>
      <c r="L39" s="24">
        <v>1.0931953023343544</v>
      </c>
      <c r="N39" s="24">
        <f t="shared" si="10"/>
        <v>4000</v>
      </c>
      <c r="O39" s="24">
        <f t="shared" si="11"/>
        <v>1.5406302479444578</v>
      </c>
      <c r="P39" s="24">
        <f t="shared" si="1"/>
        <v>1.2544805870574167</v>
      </c>
      <c r="Q39" s="24">
        <f t="shared" si="2"/>
        <v>1.2555416882818164</v>
      </c>
      <c r="R39" s="24">
        <f t="shared" si="3"/>
        <v>0.93495481994485097</v>
      </c>
      <c r="S39" s="24">
        <f t="shared" si="4"/>
        <v>0.45443277614883337</v>
      </c>
      <c r="T39" s="24">
        <f t="shared" si="5"/>
        <v>1.1053673791552316</v>
      </c>
      <c r="U39" s="24">
        <f t="shared" si="6"/>
        <v>0.55114643809999153</v>
      </c>
      <c r="V39" s="24">
        <f t="shared" si="7"/>
        <v>0.45009827892415061</v>
      </c>
      <c r="W39" s="24">
        <f t="shared" si="8"/>
        <v>-0.8483300019644755</v>
      </c>
      <c r="X39" s="24">
        <f t="shared" si="9"/>
        <v>1.4976335944806863E-2</v>
      </c>
    </row>
    <row r="40" spans="2:24" x14ac:dyDescent="0.2">
      <c r="B40" s="2">
        <v>5000</v>
      </c>
      <c r="C40" s="25">
        <v>20.52271630867164</v>
      </c>
      <c r="D40" s="25">
        <v>16.243064404178014</v>
      </c>
      <c r="E40" s="25">
        <v>12.31305049265362</v>
      </c>
      <c r="F40" s="25">
        <v>9.5159645267760151</v>
      </c>
      <c r="G40" s="25">
        <v>6.7331435418059247</v>
      </c>
      <c r="H40" s="25">
        <v>5.1814575079220475</v>
      </c>
      <c r="I40" s="25">
        <v>3.1545262418225204</v>
      </c>
      <c r="J40" s="25">
        <v>2.5718853497007776</v>
      </c>
      <c r="K40" s="25">
        <v>1.603633717615859</v>
      </c>
      <c r="L40" s="25">
        <v>1.1475657657801257</v>
      </c>
      <c r="N40" s="25">
        <f t="shared" si="10"/>
        <v>5000</v>
      </c>
      <c r="O40" s="25">
        <f t="shared" si="11"/>
        <v>2.4130202615485441</v>
      </c>
      <c r="P40" s="25">
        <f t="shared" si="1"/>
        <v>1.467157866380598</v>
      </c>
      <c r="Q40" s="25">
        <f t="shared" si="2"/>
        <v>0.2843384682220082</v>
      </c>
      <c r="R40" s="25">
        <f t="shared" si="3"/>
        <v>0.57195001020368175</v>
      </c>
      <c r="S40" s="25">
        <f t="shared" si="4"/>
        <v>-0.32522241875021191</v>
      </c>
      <c r="T40" s="25">
        <f t="shared" si="5"/>
        <v>0.50069550335474</v>
      </c>
      <c r="U40" s="25">
        <f t="shared" si="6"/>
        <v>-0.8266219135400974</v>
      </c>
      <c r="V40" s="25">
        <f t="shared" si="7"/>
        <v>0.35228380289608752</v>
      </c>
      <c r="W40" s="25">
        <f t="shared" si="8"/>
        <v>-7.9911665266658161E-2</v>
      </c>
      <c r="X40" s="25">
        <f t="shared" si="9"/>
        <v>0.14274086206809758</v>
      </c>
    </row>
  </sheetData>
  <mergeCells count="3">
    <mergeCell ref="B4:C4"/>
    <mergeCell ref="E4:F4"/>
    <mergeCell ref="H4:I4"/>
  </mergeCells>
  <dataValidations count="3">
    <dataValidation type="list" errorStyle="warning" allowBlank="1" showInputMessage="1" showErrorMessage="1" sqref="F5" xr:uid="{1B7BB9E7-45EC-E645-9C75-901674164F8F}">
      <formula1>"Call,Put"</formula1>
    </dataValidation>
    <dataValidation type="decimal" errorStyle="warning" operator="greaterThan" allowBlank="1" showInputMessage="1" showErrorMessage="1" errorTitle="T-t &gt; 0" sqref="F7 C9 I5" xr:uid="{E8ADF845-F128-1E40-A1D3-DABA4523426A}">
      <formula1>0</formula1>
    </dataValidation>
    <dataValidation type="list" allowBlank="1" showInputMessage="1" showErrorMessage="1" sqref="F8" xr:uid="{E12A7BC1-2B05-7A4C-AD5C-DDEEE5C03CA2}">
      <formula1>"European,American"</formula1>
    </dataValidation>
  </dataValidations>
  <pageMargins left="0.7" right="0.7" top="0.75" bottom="0.75" header="0.3" footer="0.3"/>
  <ignoredErrors>
    <ignoredError sqref="N17:O17 P1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34</vt:i4>
      </vt:variant>
    </vt:vector>
  </HeadingPairs>
  <TitlesOfParts>
    <vt:vector size="36" baseType="lpstr">
      <vt:lpstr>Pricing Models</vt:lpstr>
      <vt:lpstr>Conv LS vs BS</vt:lpstr>
      <vt:lpstr>BS_range</vt:lpstr>
      <vt:lpstr>Conv_LS_Div</vt:lpstr>
      <vt:lpstr>Conv_LS_DivDate</vt:lpstr>
      <vt:lpstr>Conv_LS_Exercise</vt:lpstr>
      <vt:lpstr>Conv_LS_Maturity</vt:lpstr>
      <vt:lpstr>Conv_LS_OptType</vt:lpstr>
      <vt:lpstr>Conv_LS_P1</vt:lpstr>
      <vt:lpstr>Conv_LS_Paths</vt:lpstr>
      <vt:lpstr>Conv_LS_PrDate</vt:lpstr>
      <vt:lpstr>Conv_LS_Rate</vt:lpstr>
      <vt:lpstr>Conv_LS_S1</vt:lpstr>
      <vt:lpstr>Conv_LS_Seed</vt:lpstr>
      <vt:lpstr>Conv_LS_Spot</vt:lpstr>
      <vt:lpstr>Conv_LS_Steps</vt:lpstr>
      <vt:lpstr>Conv_LS_Strike</vt:lpstr>
      <vt:lpstr>Conv_LS_Vol</vt:lpstr>
      <vt:lpstr>Div</vt:lpstr>
      <vt:lpstr>DivDate</vt:lpstr>
      <vt:lpstr>Exercise</vt:lpstr>
      <vt:lpstr>Exercise1</vt:lpstr>
      <vt:lpstr>Maturity</vt:lpstr>
      <vt:lpstr>Maturity1</vt:lpstr>
      <vt:lpstr>ModelPrices</vt:lpstr>
      <vt:lpstr>OptType</vt:lpstr>
      <vt:lpstr>Paths</vt:lpstr>
      <vt:lpstr>PrDate</vt:lpstr>
      <vt:lpstr>Rate</vt:lpstr>
      <vt:lpstr>Seed</vt:lpstr>
      <vt:lpstr>Spot</vt:lpstr>
      <vt:lpstr>Steps</vt:lpstr>
      <vt:lpstr>Strike</vt:lpstr>
      <vt:lpstr>Strike_range</vt:lpstr>
      <vt:lpstr>Times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Chebrek</dc:creator>
  <cp:lastModifiedBy>Ryhan Chebrek</cp:lastModifiedBy>
  <dcterms:created xsi:type="dcterms:W3CDTF">2025-03-01T14:59:41Z</dcterms:created>
  <dcterms:modified xsi:type="dcterms:W3CDTF">2025-03-02T22:01:29Z</dcterms:modified>
</cp:coreProperties>
</file>